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25269BB6-01D5-4F00-87C4-A8BF1AF4FFD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" sheetId="6" r:id="rId1"/>
    <sheet name="Analysis" sheetId="8" r:id="rId2"/>
    <sheet name="Dashboard" sheetId="3" r:id="rId3"/>
  </sheets>
  <externalReferences>
    <externalReference r:id="rId4"/>
  </externalReferences>
  <definedNames>
    <definedName name="Slicer_Channel">#N/A</definedName>
    <definedName name="Slicer_City">#N/A</definedName>
    <definedName name="Slicer_Cookie_Type">#N/A</definedName>
  </definedNames>
  <calcPr calcId="191028"/>
  <pivotCaches>
    <pivotCache cacheId="53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/>
  <c r="E2" i="3"/>
  <c r="I2" i="3"/>
  <c r="M2" i="3"/>
  <c r="K2001" i="6"/>
  <c r="K2000" i="6"/>
  <c r="K1999" i="6"/>
  <c r="K1998" i="6"/>
  <c r="K1997" i="6"/>
  <c r="K1996" i="6"/>
  <c r="K1995" i="6"/>
  <c r="K1994" i="6"/>
  <c r="K1993" i="6"/>
  <c r="K1992" i="6"/>
  <c r="K1991" i="6"/>
  <c r="K1990" i="6"/>
  <c r="K1989" i="6"/>
  <c r="K1988" i="6"/>
  <c r="K1987" i="6"/>
  <c r="K1986" i="6"/>
  <c r="K1985" i="6"/>
  <c r="K1984" i="6"/>
  <c r="K1983" i="6"/>
  <c r="K1982" i="6"/>
  <c r="K1981" i="6"/>
  <c r="K1980" i="6"/>
  <c r="K1979" i="6"/>
  <c r="K1978" i="6"/>
  <c r="K1977" i="6"/>
  <c r="K1976" i="6"/>
  <c r="K1975" i="6"/>
  <c r="K1974" i="6"/>
  <c r="K1973" i="6"/>
  <c r="K1972" i="6"/>
  <c r="K1971" i="6"/>
  <c r="K1970" i="6"/>
  <c r="K1969" i="6"/>
  <c r="K1968" i="6"/>
  <c r="K1967" i="6"/>
  <c r="K1966" i="6"/>
  <c r="K1965" i="6"/>
  <c r="K1964" i="6"/>
  <c r="K1963" i="6"/>
  <c r="K1962" i="6"/>
  <c r="K1961" i="6"/>
  <c r="K1960" i="6"/>
  <c r="K1959" i="6"/>
  <c r="K1958" i="6"/>
  <c r="K1957" i="6"/>
  <c r="K1956" i="6"/>
  <c r="K1955" i="6"/>
  <c r="K1954" i="6"/>
  <c r="K1953" i="6"/>
  <c r="K1952" i="6"/>
  <c r="K1951" i="6"/>
  <c r="K1950" i="6"/>
  <c r="K1949" i="6"/>
  <c r="K1948" i="6"/>
  <c r="K1947" i="6"/>
  <c r="K1946" i="6"/>
  <c r="K1945" i="6"/>
  <c r="K1944" i="6"/>
  <c r="K1943" i="6"/>
  <c r="K1942" i="6"/>
  <c r="K1941" i="6"/>
  <c r="K1940" i="6"/>
  <c r="K1939" i="6"/>
  <c r="K1938" i="6"/>
  <c r="K1937" i="6"/>
  <c r="K1936" i="6"/>
  <c r="K1935" i="6"/>
  <c r="K1934" i="6"/>
  <c r="K1933" i="6"/>
  <c r="K1932" i="6"/>
  <c r="K1931" i="6"/>
  <c r="K1930" i="6"/>
  <c r="K1929" i="6"/>
  <c r="K1928" i="6"/>
  <c r="K1927" i="6"/>
  <c r="K1926" i="6"/>
  <c r="K1925" i="6"/>
  <c r="K1924" i="6"/>
  <c r="K1923" i="6"/>
  <c r="K1922" i="6"/>
  <c r="K1921" i="6"/>
  <c r="K1920" i="6"/>
  <c r="K1919" i="6"/>
  <c r="K1918" i="6"/>
  <c r="K1917" i="6"/>
  <c r="K1916" i="6"/>
  <c r="K1915" i="6"/>
  <c r="K1914" i="6"/>
  <c r="K1913" i="6"/>
  <c r="K1912" i="6"/>
  <c r="K1911" i="6"/>
  <c r="K1910" i="6"/>
  <c r="K1909" i="6"/>
  <c r="K1908" i="6"/>
  <c r="K1907" i="6"/>
  <c r="K1906" i="6"/>
  <c r="K1905" i="6"/>
  <c r="K1904" i="6"/>
  <c r="K1903" i="6"/>
  <c r="K1902" i="6"/>
  <c r="K1901" i="6"/>
  <c r="K1900" i="6"/>
  <c r="K1899" i="6"/>
  <c r="K1898" i="6"/>
  <c r="K1897" i="6"/>
  <c r="K1896" i="6"/>
  <c r="K1895" i="6"/>
  <c r="K1894" i="6"/>
  <c r="K1893" i="6"/>
  <c r="K1892" i="6"/>
  <c r="K1891" i="6"/>
  <c r="K1890" i="6"/>
  <c r="K1889" i="6"/>
  <c r="K1888" i="6"/>
  <c r="K1887" i="6"/>
  <c r="K1886" i="6"/>
  <c r="K1885" i="6"/>
  <c r="K1884" i="6"/>
  <c r="K1883" i="6"/>
  <c r="K1882" i="6"/>
  <c r="K1881" i="6"/>
  <c r="K1880" i="6"/>
  <c r="K1879" i="6"/>
  <c r="K1878" i="6"/>
  <c r="K1877" i="6"/>
  <c r="K1876" i="6"/>
  <c r="K1875" i="6"/>
  <c r="K1874" i="6"/>
  <c r="K1873" i="6"/>
  <c r="K1872" i="6"/>
  <c r="K1871" i="6"/>
  <c r="K1870" i="6"/>
  <c r="K1869" i="6"/>
  <c r="K1868" i="6"/>
  <c r="K1867" i="6"/>
  <c r="K1866" i="6"/>
  <c r="K1865" i="6"/>
  <c r="K1864" i="6"/>
  <c r="K1863" i="6"/>
  <c r="K1862" i="6"/>
  <c r="K1861" i="6"/>
  <c r="K1860" i="6"/>
  <c r="K1859" i="6"/>
  <c r="K1858" i="6"/>
  <c r="K1857" i="6"/>
  <c r="K1856" i="6"/>
  <c r="K1855" i="6"/>
  <c r="K1854" i="6"/>
  <c r="K1853" i="6"/>
  <c r="K1852" i="6"/>
  <c r="K1851" i="6"/>
  <c r="K1850" i="6"/>
  <c r="K1849" i="6"/>
  <c r="K1848" i="6"/>
  <c r="K1847" i="6"/>
  <c r="K1846" i="6"/>
  <c r="K1845" i="6"/>
  <c r="K1844" i="6"/>
  <c r="K1843" i="6"/>
  <c r="K1842" i="6"/>
  <c r="K1841" i="6"/>
  <c r="K1840" i="6"/>
  <c r="K1839" i="6"/>
  <c r="K1838" i="6"/>
  <c r="K1837" i="6"/>
  <c r="K1836" i="6"/>
  <c r="K1835" i="6"/>
  <c r="K1834" i="6"/>
  <c r="K1833" i="6"/>
  <c r="K1832" i="6"/>
  <c r="K1831" i="6"/>
  <c r="K1830" i="6"/>
  <c r="K1829" i="6"/>
  <c r="K1828" i="6"/>
  <c r="K1827" i="6"/>
  <c r="K1826" i="6"/>
  <c r="K1825" i="6"/>
  <c r="K1824" i="6"/>
  <c r="K1823" i="6"/>
  <c r="K1822" i="6"/>
  <c r="K1821" i="6"/>
  <c r="K1820" i="6"/>
  <c r="K1819" i="6"/>
  <c r="K1818" i="6"/>
  <c r="K1817" i="6"/>
  <c r="K1816" i="6"/>
  <c r="K1815" i="6"/>
  <c r="K1814" i="6"/>
  <c r="K1813" i="6"/>
  <c r="K1812" i="6"/>
  <c r="K1811" i="6"/>
  <c r="K1810" i="6"/>
  <c r="K1809" i="6"/>
  <c r="K1808" i="6"/>
  <c r="K1807" i="6"/>
  <c r="K1806" i="6"/>
  <c r="K1805" i="6"/>
  <c r="K1804" i="6"/>
  <c r="K1803" i="6"/>
  <c r="K1802" i="6"/>
  <c r="K1801" i="6"/>
  <c r="K1800" i="6"/>
  <c r="K1799" i="6"/>
  <c r="K1798" i="6"/>
  <c r="K1797" i="6"/>
  <c r="K1796" i="6"/>
  <c r="K1795" i="6"/>
  <c r="K1794" i="6"/>
  <c r="K1793" i="6"/>
  <c r="K1792" i="6"/>
  <c r="K1791" i="6"/>
  <c r="K1790" i="6"/>
  <c r="K1789" i="6"/>
  <c r="K1788" i="6"/>
  <c r="K1787" i="6"/>
  <c r="K1786" i="6"/>
  <c r="K1785" i="6"/>
  <c r="K1784" i="6"/>
  <c r="K1783" i="6"/>
  <c r="K1782" i="6"/>
  <c r="K1781" i="6"/>
  <c r="K1780" i="6"/>
  <c r="K1779" i="6"/>
  <c r="K1778" i="6"/>
  <c r="K1777" i="6"/>
  <c r="K1776" i="6"/>
  <c r="K1775" i="6"/>
  <c r="K1774" i="6"/>
  <c r="K1773" i="6"/>
  <c r="K1772" i="6"/>
  <c r="K1771" i="6"/>
  <c r="K1770" i="6"/>
  <c r="K1769" i="6"/>
  <c r="K1768" i="6"/>
  <c r="K1767" i="6"/>
  <c r="K1766" i="6"/>
  <c r="K1765" i="6"/>
  <c r="K1764" i="6"/>
  <c r="K1763" i="6"/>
  <c r="K1762" i="6"/>
  <c r="K1761" i="6"/>
  <c r="K1760" i="6"/>
  <c r="K1759" i="6"/>
  <c r="K1758" i="6"/>
  <c r="K1757" i="6"/>
  <c r="K1756" i="6"/>
  <c r="K1755" i="6"/>
  <c r="K1754" i="6"/>
  <c r="K1753" i="6"/>
  <c r="K1752" i="6"/>
  <c r="K1751" i="6"/>
  <c r="K1750" i="6"/>
  <c r="K1749" i="6"/>
  <c r="K1748" i="6"/>
  <c r="K1747" i="6"/>
  <c r="K1746" i="6"/>
  <c r="K1745" i="6"/>
  <c r="K1744" i="6"/>
  <c r="K1743" i="6"/>
  <c r="K1742" i="6"/>
  <c r="K1741" i="6"/>
  <c r="K1740" i="6"/>
  <c r="K1739" i="6"/>
  <c r="K1738" i="6"/>
  <c r="K1737" i="6"/>
  <c r="K1736" i="6"/>
  <c r="K1735" i="6"/>
  <c r="K1734" i="6"/>
  <c r="K1733" i="6"/>
  <c r="K1732" i="6"/>
  <c r="K1731" i="6"/>
  <c r="K1730" i="6"/>
  <c r="K1729" i="6"/>
  <c r="K1728" i="6"/>
  <c r="K1727" i="6"/>
  <c r="K1726" i="6"/>
  <c r="K1725" i="6"/>
  <c r="K1724" i="6"/>
  <c r="K1723" i="6"/>
  <c r="K1722" i="6"/>
  <c r="K1721" i="6"/>
  <c r="K1720" i="6"/>
  <c r="K1719" i="6"/>
  <c r="K1718" i="6"/>
  <c r="K1717" i="6"/>
  <c r="K1716" i="6"/>
  <c r="K1715" i="6"/>
  <c r="K1714" i="6"/>
  <c r="K1713" i="6"/>
  <c r="K1712" i="6"/>
  <c r="K1711" i="6"/>
  <c r="K1710" i="6"/>
  <c r="K1709" i="6"/>
  <c r="K1708" i="6"/>
  <c r="K1707" i="6"/>
  <c r="K1706" i="6"/>
  <c r="K1705" i="6"/>
  <c r="K1704" i="6"/>
  <c r="K1703" i="6"/>
  <c r="K1702" i="6"/>
  <c r="K1701" i="6"/>
  <c r="K1700" i="6"/>
  <c r="K1699" i="6"/>
  <c r="K1698" i="6"/>
  <c r="K1697" i="6"/>
  <c r="K1696" i="6"/>
  <c r="K1695" i="6"/>
  <c r="K1694" i="6"/>
  <c r="K1693" i="6"/>
  <c r="K1692" i="6"/>
  <c r="K1691" i="6"/>
  <c r="K1690" i="6"/>
  <c r="K1689" i="6"/>
  <c r="K1688" i="6"/>
  <c r="K1687" i="6"/>
  <c r="K1686" i="6"/>
  <c r="K1685" i="6"/>
  <c r="K1684" i="6"/>
  <c r="K1683" i="6"/>
  <c r="K1682" i="6"/>
  <c r="K1681" i="6"/>
  <c r="K1680" i="6"/>
  <c r="K1679" i="6"/>
  <c r="K1678" i="6"/>
  <c r="K1677" i="6"/>
  <c r="K1676" i="6"/>
  <c r="K1675" i="6"/>
  <c r="K1674" i="6"/>
  <c r="K1673" i="6"/>
  <c r="K1672" i="6"/>
  <c r="K1671" i="6"/>
  <c r="K1670" i="6"/>
  <c r="K1669" i="6"/>
  <c r="K1668" i="6"/>
  <c r="K1667" i="6"/>
  <c r="K1666" i="6"/>
  <c r="K1665" i="6"/>
  <c r="K1664" i="6"/>
  <c r="K1663" i="6"/>
  <c r="K1662" i="6"/>
  <c r="K1661" i="6"/>
  <c r="K1660" i="6"/>
  <c r="K1659" i="6"/>
  <c r="K1658" i="6"/>
  <c r="K1657" i="6"/>
  <c r="K1656" i="6"/>
  <c r="K1655" i="6"/>
  <c r="K1654" i="6"/>
  <c r="K1653" i="6"/>
  <c r="K1652" i="6"/>
  <c r="K1651" i="6"/>
  <c r="K1650" i="6"/>
  <c r="K1649" i="6"/>
  <c r="K1648" i="6"/>
  <c r="K1647" i="6"/>
  <c r="K1646" i="6"/>
  <c r="K1645" i="6"/>
  <c r="K1644" i="6"/>
  <c r="K1643" i="6"/>
  <c r="K1642" i="6"/>
  <c r="K1641" i="6"/>
  <c r="K1640" i="6"/>
  <c r="K1639" i="6"/>
  <c r="K1638" i="6"/>
  <c r="K1637" i="6"/>
  <c r="K1636" i="6"/>
  <c r="K1635" i="6"/>
  <c r="K1634" i="6"/>
  <c r="K1633" i="6"/>
  <c r="K1632" i="6"/>
  <c r="K1631" i="6"/>
  <c r="K1630" i="6"/>
  <c r="K1629" i="6"/>
  <c r="K1628" i="6"/>
  <c r="K1627" i="6"/>
  <c r="K1626" i="6"/>
  <c r="K1625" i="6"/>
  <c r="K1624" i="6"/>
  <c r="K1623" i="6"/>
  <c r="K1622" i="6"/>
  <c r="K1621" i="6"/>
  <c r="K1620" i="6"/>
  <c r="K1619" i="6"/>
  <c r="K1618" i="6"/>
  <c r="K1617" i="6"/>
  <c r="K1616" i="6"/>
  <c r="K1615" i="6"/>
  <c r="K1614" i="6"/>
  <c r="K1613" i="6"/>
  <c r="K1612" i="6"/>
  <c r="K1611" i="6"/>
  <c r="K1610" i="6"/>
  <c r="K1609" i="6"/>
  <c r="K1608" i="6"/>
  <c r="K1607" i="6"/>
  <c r="K1606" i="6"/>
  <c r="K1605" i="6"/>
  <c r="K1604" i="6"/>
  <c r="K1603" i="6"/>
  <c r="K1602" i="6"/>
  <c r="K1601" i="6"/>
  <c r="K1600" i="6"/>
  <c r="K1599" i="6"/>
  <c r="K1598" i="6"/>
  <c r="K1597" i="6"/>
  <c r="K1596" i="6"/>
  <c r="K1595" i="6"/>
  <c r="K1594" i="6"/>
  <c r="K1593" i="6"/>
  <c r="K1592" i="6"/>
  <c r="K1591" i="6"/>
  <c r="K1590" i="6"/>
  <c r="K1589" i="6"/>
  <c r="K1588" i="6"/>
  <c r="K1587" i="6"/>
  <c r="K1586" i="6"/>
  <c r="K1585" i="6"/>
  <c r="K1584" i="6"/>
  <c r="K1583" i="6"/>
  <c r="K1582" i="6"/>
  <c r="K1581" i="6"/>
  <c r="K1580" i="6"/>
  <c r="K1579" i="6"/>
  <c r="K1578" i="6"/>
  <c r="K1577" i="6"/>
  <c r="K1576" i="6"/>
  <c r="K1575" i="6"/>
  <c r="K1574" i="6"/>
  <c r="K1573" i="6"/>
  <c r="K1572" i="6"/>
  <c r="K1571" i="6"/>
  <c r="K1570" i="6"/>
  <c r="K1569" i="6"/>
  <c r="K1568" i="6"/>
  <c r="K1567" i="6"/>
  <c r="K1566" i="6"/>
  <c r="K1565" i="6"/>
  <c r="K1564" i="6"/>
  <c r="K1563" i="6"/>
  <c r="K1562" i="6"/>
  <c r="K1561" i="6"/>
  <c r="K1560" i="6"/>
  <c r="K1559" i="6"/>
  <c r="K1558" i="6"/>
  <c r="K1557" i="6"/>
  <c r="K1556" i="6"/>
  <c r="K1555" i="6"/>
  <c r="K1554" i="6"/>
  <c r="K1553" i="6"/>
  <c r="K1552" i="6"/>
  <c r="K1551" i="6"/>
  <c r="K1550" i="6"/>
  <c r="K1549" i="6"/>
  <c r="K1548" i="6"/>
  <c r="K1547" i="6"/>
  <c r="K1546" i="6"/>
  <c r="K1545" i="6"/>
  <c r="K1544" i="6"/>
  <c r="K1543" i="6"/>
  <c r="K1542" i="6"/>
  <c r="K1541" i="6"/>
  <c r="K1540" i="6"/>
  <c r="K1539" i="6"/>
  <c r="K1538" i="6"/>
  <c r="K1537" i="6"/>
  <c r="K1536" i="6"/>
  <c r="K1535" i="6"/>
  <c r="K1534" i="6"/>
  <c r="K1533" i="6"/>
  <c r="K1532" i="6"/>
  <c r="K1531" i="6"/>
  <c r="K1530" i="6"/>
  <c r="K1529" i="6"/>
  <c r="K1528" i="6"/>
  <c r="K1527" i="6"/>
  <c r="K1526" i="6"/>
  <c r="K1525" i="6"/>
  <c r="K1524" i="6"/>
  <c r="K1523" i="6"/>
  <c r="K1522" i="6"/>
  <c r="K1521" i="6"/>
  <c r="K1520" i="6"/>
  <c r="K1519" i="6"/>
  <c r="K1518" i="6"/>
  <c r="K1517" i="6"/>
  <c r="K1516" i="6"/>
  <c r="K1515" i="6"/>
  <c r="K1514" i="6"/>
  <c r="K1513" i="6"/>
  <c r="K1512" i="6"/>
  <c r="K1511" i="6"/>
  <c r="K1510" i="6"/>
  <c r="K1509" i="6"/>
  <c r="K1508" i="6"/>
  <c r="K1507" i="6"/>
  <c r="K1506" i="6"/>
  <c r="K1505" i="6"/>
  <c r="K1504" i="6"/>
  <c r="K1503" i="6"/>
  <c r="K1502" i="6"/>
  <c r="K1501" i="6"/>
  <c r="K1500" i="6"/>
  <c r="K1499" i="6"/>
  <c r="K1498" i="6"/>
  <c r="K1497" i="6"/>
  <c r="K1496" i="6"/>
  <c r="K1495" i="6"/>
  <c r="K1494" i="6"/>
  <c r="K1493" i="6"/>
  <c r="K1492" i="6"/>
  <c r="K1491" i="6"/>
  <c r="K1490" i="6"/>
  <c r="K1489" i="6"/>
  <c r="K1488" i="6"/>
  <c r="K1487" i="6"/>
  <c r="K1486" i="6"/>
  <c r="K1485" i="6"/>
  <c r="K1484" i="6"/>
  <c r="K1483" i="6"/>
  <c r="K1482" i="6"/>
  <c r="K1481" i="6"/>
  <c r="K1480" i="6"/>
  <c r="K1479" i="6"/>
  <c r="K1478" i="6"/>
  <c r="K1477" i="6"/>
  <c r="K1476" i="6"/>
  <c r="K1475" i="6"/>
  <c r="K1474" i="6"/>
  <c r="K1473" i="6"/>
  <c r="K1472" i="6"/>
  <c r="K1471" i="6"/>
  <c r="K1470" i="6"/>
  <c r="K1469" i="6"/>
  <c r="K1468" i="6"/>
  <c r="K1467" i="6"/>
  <c r="K1466" i="6"/>
  <c r="K1465" i="6"/>
  <c r="K1464" i="6"/>
  <c r="K1463" i="6"/>
  <c r="K1462" i="6"/>
  <c r="K1461" i="6"/>
  <c r="K1460" i="6"/>
  <c r="K1459" i="6"/>
  <c r="K1458" i="6"/>
  <c r="K1457" i="6"/>
  <c r="K1456" i="6"/>
  <c r="K1455" i="6"/>
  <c r="K1454" i="6"/>
  <c r="K1453" i="6"/>
  <c r="K1452" i="6"/>
  <c r="K1451" i="6"/>
  <c r="K1450" i="6"/>
  <c r="K1449" i="6"/>
  <c r="K1448" i="6"/>
  <c r="K1447" i="6"/>
  <c r="K1446" i="6"/>
  <c r="K1445" i="6"/>
  <c r="K1444" i="6"/>
  <c r="K1443" i="6"/>
  <c r="K1442" i="6"/>
  <c r="K1441" i="6"/>
  <c r="K1440" i="6"/>
  <c r="K1439" i="6"/>
  <c r="K1438" i="6"/>
  <c r="K1437" i="6"/>
  <c r="K1436" i="6"/>
  <c r="K1435" i="6"/>
  <c r="K1434" i="6"/>
  <c r="K1433" i="6"/>
  <c r="K1432" i="6"/>
  <c r="K1431" i="6"/>
  <c r="K1430" i="6"/>
  <c r="K1429" i="6"/>
  <c r="K1428" i="6"/>
  <c r="K1427" i="6"/>
  <c r="K1426" i="6"/>
  <c r="K1425" i="6"/>
  <c r="K1424" i="6"/>
  <c r="K1423" i="6"/>
  <c r="K1422" i="6"/>
  <c r="K1421" i="6"/>
  <c r="K1420" i="6"/>
  <c r="K1419" i="6"/>
  <c r="K1418" i="6"/>
  <c r="K1417" i="6"/>
  <c r="K1416" i="6"/>
  <c r="K1415" i="6"/>
  <c r="K1414" i="6"/>
  <c r="K1413" i="6"/>
  <c r="K1412" i="6"/>
  <c r="K1411" i="6"/>
  <c r="K1410" i="6"/>
  <c r="K1409" i="6"/>
  <c r="K1408" i="6"/>
  <c r="K1407" i="6"/>
  <c r="K1406" i="6"/>
  <c r="K1405" i="6"/>
  <c r="K1404" i="6"/>
  <c r="K1403" i="6"/>
  <c r="K1402" i="6"/>
  <c r="K1401" i="6"/>
  <c r="K1400" i="6"/>
  <c r="K1399" i="6"/>
  <c r="K1398" i="6"/>
  <c r="K1397" i="6"/>
  <c r="K1396" i="6"/>
  <c r="K1395" i="6"/>
  <c r="K1394" i="6"/>
  <c r="K1393" i="6"/>
  <c r="K1392" i="6"/>
  <c r="K1391" i="6"/>
  <c r="K1390" i="6"/>
  <c r="K1389" i="6"/>
  <c r="K1388" i="6"/>
  <c r="K1387" i="6"/>
  <c r="K1386" i="6"/>
  <c r="K1385" i="6"/>
  <c r="K1384" i="6"/>
  <c r="K1383" i="6"/>
  <c r="K1382" i="6"/>
  <c r="K1381" i="6"/>
  <c r="K1380" i="6"/>
  <c r="K1379" i="6"/>
  <c r="K1378" i="6"/>
  <c r="K1377" i="6"/>
  <c r="K1376" i="6"/>
  <c r="K1375" i="6"/>
  <c r="K1374" i="6"/>
  <c r="K1373" i="6"/>
  <c r="K1372" i="6"/>
  <c r="K1371" i="6"/>
  <c r="K1370" i="6"/>
  <c r="K1369" i="6"/>
  <c r="K1368" i="6"/>
  <c r="K1367" i="6"/>
  <c r="K1366" i="6"/>
  <c r="K1365" i="6"/>
  <c r="K1364" i="6"/>
  <c r="K1363" i="6"/>
  <c r="K1362" i="6"/>
  <c r="K1361" i="6"/>
  <c r="K1360" i="6"/>
  <c r="K1359" i="6"/>
  <c r="K1358" i="6"/>
  <c r="K1357" i="6"/>
  <c r="K1356" i="6"/>
  <c r="K1355" i="6"/>
  <c r="K1354" i="6"/>
  <c r="K1353" i="6"/>
  <c r="K1352" i="6"/>
  <c r="K1351" i="6"/>
  <c r="K1350" i="6"/>
  <c r="K1349" i="6"/>
  <c r="K1348" i="6"/>
  <c r="K1347" i="6"/>
  <c r="K1346" i="6"/>
  <c r="K1345" i="6"/>
  <c r="K1344" i="6"/>
  <c r="K1343" i="6"/>
  <c r="K1342" i="6"/>
  <c r="K1341" i="6"/>
  <c r="K1340" i="6"/>
  <c r="K1339" i="6"/>
  <c r="K1338" i="6"/>
  <c r="K1337" i="6"/>
  <c r="K1336" i="6"/>
  <c r="K1335" i="6"/>
  <c r="K1334" i="6"/>
  <c r="K1333" i="6"/>
  <c r="K1332" i="6"/>
  <c r="K1331" i="6"/>
  <c r="K1330" i="6"/>
  <c r="K1329" i="6"/>
  <c r="K1328" i="6"/>
  <c r="K1327" i="6"/>
  <c r="K1326" i="6"/>
  <c r="K1325" i="6"/>
  <c r="K1324" i="6"/>
  <c r="K1323" i="6"/>
  <c r="K1322" i="6"/>
  <c r="K1321" i="6"/>
  <c r="K1320" i="6"/>
  <c r="K1319" i="6"/>
  <c r="K1318" i="6"/>
  <c r="K1317" i="6"/>
  <c r="K1316" i="6"/>
  <c r="K1315" i="6"/>
  <c r="K1314" i="6"/>
  <c r="K1313" i="6"/>
  <c r="K1312" i="6"/>
  <c r="K1311" i="6"/>
  <c r="K1310" i="6"/>
  <c r="K1309" i="6"/>
  <c r="K1308" i="6"/>
  <c r="K1307" i="6"/>
  <c r="K1306" i="6"/>
  <c r="K1305" i="6"/>
  <c r="K1304" i="6"/>
  <c r="K1303" i="6"/>
  <c r="K1302" i="6"/>
  <c r="K1301" i="6"/>
  <c r="K1300" i="6"/>
  <c r="K1299" i="6"/>
  <c r="K1298" i="6"/>
  <c r="K1297" i="6"/>
  <c r="K1296" i="6"/>
  <c r="K1295" i="6"/>
  <c r="K1294" i="6"/>
  <c r="K1293" i="6"/>
  <c r="K1292" i="6"/>
  <c r="K1291" i="6"/>
  <c r="K1290" i="6"/>
  <c r="K1289" i="6"/>
  <c r="K1288" i="6"/>
  <c r="K1287" i="6"/>
  <c r="K1286" i="6"/>
  <c r="K1285" i="6"/>
  <c r="K1284" i="6"/>
  <c r="K1283" i="6"/>
  <c r="K1282" i="6"/>
  <c r="K1281" i="6"/>
  <c r="K1280" i="6"/>
  <c r="K1279" i="6"/>
  <c r="K1278" i="6"/>
  <c r="K1277" i="6"/>
  <c r="K1276" i="6"/>
  <c r="K1275" i="6"/>
  <c r="K1274" i="6"/>
  <c r="K1273" i="6"/>
  <c r="K1272" i="6"/>
  <c r="K1271" i="6"/>
  <c r="K1270" i="6"/>
  <c r="K1269" i="6"/>
  <c r="K1268" i="6"/>
  <c r="K1267" i="6"/>
  <c r="K1266" i="6"/>
  <c r="K1265" i="6"/>
  <c r="K1264" i="6"/>
  <c r="K1263" i="6"/>
  <c r="K1262" i="6"/>
  <c r="K1261" i="6"/>
  <c r="K1260" i="6"/>
  <c r="K1259" i="6"/>
  <c r="K1258" i="6"/>
  <c r="K1257" i="6"/>
  <c r="K1256" i="6"/>
  <c r="K1255" i="6"/>
  <c r="K1254" i="6"/>
  <c r="K1253" i="6"/>
  <c r="K1252" i="6"/>
  <c r="K1251" i="6"/>
  <c r="K1250" i="6"/>
  <c r="K1249" i="6"/>
  <c r="K1248" i="6"/>
  <c r="K1247" i="6"/>
  <c r="K1246" i="6"/>
  <c r="K1245" i="6"/>
  <c r="K1244" i="6"/>
  <c r="K1243" i="6"/>
  <c r="K1242" i="6"/>
  <c r="K1241" i="6"/>
  <c r="K1240" i="6"/>
  <c r="K1239" i="6"/>
  <c r="K1238" i="6"/>
  <c r="K1237" i="6"/>
  <c r="K1236" i="6"/>
  <c r="K1235" i="6"/>
  <c r="K1234" i="6"/>
  <c r="K1233" i="6"/>
  <c r="K1232" i="6"/>
  <c r="K1231" i="6"/>
  <c r="K1230" i="6"/>
  <c r="K1229" i="6"/>
  <c r="K1228" i="6"/>
  <c r="K1227" i="6"/>
  <c r="K1226" i="6"/>
  <c r="K1225" i="6"/>
  <c r="K1224" i="6"/>
  <c r="K1223" i="6"/>
  <c r="K1222" i="6"/>
  <c r="K1221" i="6"/>
  <c r="K1220" i="6"/>
  <c r="K1219" i="6"/>
  <c r="K1218" i="6"/>
  <c r="K1217" i="6"/>
  <c r="K1216" i="6"/>
  <c r="K1215" i="6"/>
  <c r="K1214" i="6"/>
  <c r="K1213" i="6"/>
  <c r="K1212" i="6"/>
  <c r="K1211" i="6"/>
  <c r="K1210" i="6"/>
  <c r="K1209" i="6"/>
  <c r="K1208" i="6"/>
  <c r="K1207" i="6"/>
  <c r="K1206" i="6"/>
  <c r="K1205" i="6"/>
  <c r="K1204" i="6"/>
  <c r="K1203" i="6"/>
  <c r="K1202" i="6"/>
  <c r="K1201" i="6"/>
  <c r="K1200" i="6"/>
  <c r="K1199" i="6"/>
  <c r="K1198" i="6"/>
  <c r="K1197" i="6"/>
  <c r="K1196" i="6"/>
  <c r="K1195" i="6"/>
  <c r="K1194" i="6"/>
  <c r="K1193" i="6"/>
  <c r="K1192" i="6"/>
  <c r="K1191" i="6"/>
  <c r="K1190" i="6"/>
  <c r="K1189" i="6"/>
  <c r="K1188" i="6"/>
  <c r="K1187" i="6"/>
  <c r="K1186" i="6"/>
  <c r="K1185" i="6"/>
  <c r="K1184" i="6"/>
  <c r="K1183" i="6"/>
  <c r="K1182" i="6"/>
  <c r="K1181" i="6"/>
  <c r="K1180" i="6"/>
  <c r="K1179" i="6"/>
  <c r="K1178" i="6"/>
  <c r="K1177" i="6"/>
  <c r="K1176" i="6"/>
  <c r="K1175" i="6"/>
  <c r="K1174" i="6"/>
  <c r="K1173" i="6"/>
  <c r="K1172" i="6"/>
  <c r="K1171" i="6"/>
  <c r="K1170" i="6"/>
  <c r="K1169" i="6"/>
  <c r="K1168" i="6"/>
  <c r="K1167" i="6"/>
  <c r="K1166" i="6"/>
  <c r="K1165" i="6"/>
  <c r="K1164" i="6"/>
  <c r="K1163" i="6"/>
  <c r="K1162" i="6"/>
  <c r="K1161" i="6"/>
  <c r="K1160" i="6"/>
  <c r="K1159" i="6"/>
  <c r="K1158" i="6"/>
  <c r="K1157" i="6"/>
  <c r="K1156" i="6"/>
  <c r="K1155" i="6"/>
  <c r="K1154" i="6"/>
  <c r="K1153" i="6"/>
  <c r="K1152" i="6"/>
  <c r="K1151" i="6"/>
  <c r="K1150" i="6"/>
  <c r="K1149" i="6"/>
  <c r="K1148" i="6"/>
  <c r="K1147" i="6"/>
  <c r="K1146" i="6"/>
  <c r="K1145" i="6"/>
  <c r="K1144" i="6"/>
  <c r="K1143" i="6"/>
  <c r="K1142" i="6"/>
  <c r="K1141" i="6"/>
  <c r="K1140" i="6"/>
  <c r="K1139" i="6"/>
  <c r="K1138" i="6"/>
  <c r="K1137" i="6"/>
  <c r="K1136" i="6"/>
  <c r="K1135" i="6"/>
  <c r="K1134" i="6"/>
  <c r="K1133" i="6"/>
  <c r="K1132" i="6"/>
  <c r="K1131" i="6"/>
  <c r="K1130" i="6"/>
  <c r="K1129" i="6"/>
  <c r="K1128" i="6"/>
  <c r="K1127" i="6"/>
  <c r="K1126" i="6"/>
  <c r="K1125" i="6"/>
  <c r="K1124" i="6"/>
  <c r="K1123" i="6"/>
  <c r="K1122" i="6"/>
  <c r="K1121" i="6"/>
  <c r="K1120" i="6"/>
  <c r="K1119" i="6"/>
  <c r="K1118" i="6"/>
  <c r="K1117" i="6"/>
  <c r="K1116" i="6"/>
  <c r="K1115" i="6"/>
  <c r="K1114" i="6"/>
  <c r="K1113" i="6"/>
  <c r="K1112" i="6"/>
  <c r="K1111" i="6"/>
  <c r="K1110" i="6"/>
  <c r="K1109" i="6"/>
  <c r="K1108" i="6"/>
  <c r="K1107" i="6"/>
  <c r="K1106" i="6"/>
  <c r="K1105" i="6"/>
  <c r="K1104" i="6"/>
  <c r="K1103" i="6"/>
  <c r="K1102" i="6"/>
  <c r="K1101" i="6"/>
  <c r="K1100" i="6"/>
  <c r="K1099" i="6"/>
  <c r="K1098" i="6"/>
  <c r="K1097" i="6"/>
  <c r="K1096" i="6"/>
  <c r="K1095" i="6"/>
  <c r="K1094" i="6"/>
  <c r="K1093" i="6"/>
  <c r="K1092" i="6"/>
  <c r="K1091" i="6"/>
  <c r="K1090" i="6"/>
  <c r="K1089" i="6"/>
  <c r="K1088" i="6"/>
  <c r="K1087" i="6"/>
  <c r="K1086" i="6"/>
  <c r="K1085" i="6"/>
  <c r="K1084" i="6"/>
  <c r="K1083" i="6"/>
  <c r="K1082" i="6"/>
  <c r="K1081" i="6"/>
  <c r="K1080" i="6"/>
  <c r="K1079" i="6"/>
  <c r="K1078" i="6"/>
  <c r="K1077" i="6"/>
  <c r="K1076" i="6"/>
  <c r="K1075" i="6"/>
  <c r="K1074" i="6"/>
  <c r="K1073" i="6"/>
  <c r="K1072" i="6"/>
  <c r="K1071" i="6"/>
  <c r="K1070" i="6"/>
  <c r="K1069" i="6"/>
  <c r="K1068" i="6"/>
  <c r="K1067" i="6"/>
  <c r="K1066" i="6"/>
  <c r="K1065" i="6"/>
  <c r="K1064" i="6"/>
  <c r="K1063" i="6"/>
  <c r="K1062" i="6"/>
  <c r="K1061" i="6"/>
  <c r="K1060" i="6"/>
  <c r="K1059" i="6"/>
  <c r="K1058" i="6"/>
  <c r="K1057" i="6"/>
  <c r="K1056" i="6"/>
  <c r="K1055" i="6"/>
  <c r="K1054" i="6"/>
  <c r="K1053" i="6"/>
  <c r="K1052" i="6"/>
  <c r="K1051" i="6"/>
  <c r="K1050" i="6"/>
  <c r="K1049" i="6"/>
  <c r="K1048" i="6"/>
  <c r="K1047" i="6"/>
  <c r="K1046" i="6"/>
  <c r="K1045" i="6"/>
  <c r="K1044" i="6"/>
  <c r="K1043" i="6"/>
  <c r="K1042" i="6"/>
  <c r="K1041" i="6"/>
  <c r="K1040" i="6"/>
  <c r="K1039" i="6"/>
  <c r="K1038" i="6"/>
  <c r="K1037" i="6"/>
  <c r="K1036" i="6"/>
  <c r="K1035" i="6"/>
  <c r="K1034" i="6"/>
  <c r="K1033" i="6"/>
  <c r="K1032" i="6"/>
  <c r="K1031" i="6"/>
  <c r="K1030" i="6"/>
  <c r="K1029" i="6"/>
  <c r="K1028" i="6"/>
  <c r="K1027" i="6"/>
  <c r="K1026" i="6"/>
  <c r="K1025" i="6"/>
  <c r="K1024" i="6"/>
  <c r="K1023" i="6"/>
  <c r="K1022" i="6"/>
  <c r="K1021" i="6"/>
  <c r="K1020" i="6"/>
  <c r="K1019" i="6"/>
  <c r="K1018" i="6"/>
  <c r="K1017" i="6"/>
  <c r="K1016" i="6"/>
  <c r="K1015" i="6"/>
  <c r="K1014" i="6"/>
  <c r="K1013" i="6"/>
  <c r="K1012" i="6"/>
  <c r="K1011" i="6"/>
  <c r="K1010" i="6"/>
  <c r="K1009" i="6"/>
  <c r="K1008" i="6"/>
  <c r="K1007" i="6"/>
  <c r="K1006" i="6"/>
  <c r="K1005" i="6"/>
  <c r="K1004" i="6"/>
  <c r="K1003" i="6"/>
  <c r="K1002" i="6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<sst xmlns="http://schemas.openxmlformats.org/spreadsheetml/2006/main" count="8050" uniqueCount="2043">
  <si>
    <t>Order_No</t>
  </si>
  <si>
    <t>Order_Date</t>
  </si>
  <si>
    <t>City</t>
  </si>
  <si>
    <t>Channel</t>
  </si>
  <si>
    <t>Cookie_Type</t>
  </si>
  <si>
    <t>Quantity</t>
  </si>
  <si>
    <t>Unit_Price</t>
  </si>
  <si>
    <t>Sales</t>
  </si>
  <si>
    <t>Cost</t>
  </si>
  <si>
    <t>Profit</t>
  </si>
  <si>
    <t>Month</t>
  </si>
  <si>
    <t>ORD00001</t>
  </si>
  <si>
    <t>Bengaluru</t>
  </si>
  <si>
    <t>Retail</t>
  </si>
  <si>
    <t>Butter Cookie</t>
  </si>
  <si>
    <t>ORD00002</t>
  </si>
  <si>
    <t>Jaipur</t>
  </si>
  <si>
    <t>Online</t>
  </si>
  <si>
    <t>Sugar Cookie</t>
  </si>
  <si>
    <t>ORD00003</t>
  </si>
  <si>
    <t>Oatmeal Raisin</t>
  </si>
  <si>
    <t>ORD00004</t>
  </si>
  <si>
    <t>Delhi</t>
  </si>
  <si>
    <t>Peanut Butter</t>
  </si>
  <si>
    <t>ORD00005</t>
  </si>
  <si>
    <t>ORD00006</t>
  </si>
  <si>
    <t>Chocolate Chip</t>
  </si>
  <si>
    <t>ORD00007</t>
  </si>
  <si>
    <t>Pune</t>
  </si>
  <si>
    <t>Wholesale</t>
  </si>
  <si>
    <t>ORD00008</t>
  </si>
  <si>
    <t>Mumbai</t>
  </si>
  <si>
    <t>ORD00009</t>
  </si>
  <si>
    <t>Double Choco</t>
  </si>
  <si>
    <t>ORD00010</t>
  </si>
  <si>
    <t>ORD00011</t>
  </si>
  <si>
    <t>Ahmedabad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</si>
  <si>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</si>
  <si>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</si>
  <si>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</si>
  <si>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</si>
  <si>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</si>
  <si>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</si>
  <si>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</si>
  <si>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</si>
  <si>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</si>
  <si>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</si>
  <si>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</si>
  <si>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</si>
  <si>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</si>
  <si>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</si>
  <si>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</si>
  <si>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</si>
  <si>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</si>
  <si>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</si>
  <si>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</si>
  <si>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</si>
  <si>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</si>
  <si>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</si>
  <si>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</si>
  <si>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</si>
  <si>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</si>
  <si>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</si>
  <si>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</si>
  <si>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</si>
  <si>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</si>
  <si>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</si>
  <si>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</si>
  <si>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</si>
  <si>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</si>
  <si>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</si>
  <si>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</si>
  <si>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</si>
  <si>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</si>
  <si>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</si>
  <si>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</si>
  <si>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</si>
  <si>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</si>
  <si>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</si>
  <si>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</si>
  <si>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</si>
  <si>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</si>
  <si>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</si>
  <si>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</si>
  <si>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</si>
  <si>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</si>
  <si>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</si>
  <si>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</si>
  <si>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</si>
  <si>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</si>
  <si>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</si>
  <si>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</si>
  <si>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</si>
  <si>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</si>
  <si>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</si>
  <si>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</si>
  <si>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</si>
  <si>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</si>
  <si>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</si>
  <si>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</si>
  <si>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</si>
  <si>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</si>
  <si>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</si>
  <si>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</si>
  <si>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</si>
  <si>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</si>
  <si>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</si>
  <si>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</si>
  <si>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</si>
  <si>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</si>
  <si>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</si>
  <si>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</si>
  <si>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</si>
  <si>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</si>
  <si>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</si>
  <si>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</si>
  <si>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</si>
  <si>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</si>
  <si>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</si>
  <si>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</si>
  <si>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</si>
  <si>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</si>
  <si>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</si>
  <si>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</si>
  <si>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</si>
  <si>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</si>
  <si>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</si>
  <si>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</si>
  <si>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</si>
  <si>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</si>
  <si>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</si>
  <si>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</si>
  <si>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</si>
  <si>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</si>
  <si>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</si>
  <si>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</si>
  <si>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</si>
  <si>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</si>
  <si>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</si>
  <si>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</si>
  <si>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</si>
  <si>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</si>
  <si>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</si>
  <si>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</si>
  <si>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</si>
  <si>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</si>
  <si>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</si>
  <si>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</si>
  <si>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</si>
  <si>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</si>
  <si>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</si>
  <si>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</si>
  <si>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</si>
  <si>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</si>
  <si>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</si>
  <si>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</si>
  <si>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</si>
  <si>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</si>
  <si>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</si>
  <si>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</si>
  <si>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</si>
  <si>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</si>
  <si>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</si>
  <si>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</si>
  <si>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</si>
  <si>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</si>
  <si>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</si>
  <si>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</si>
  <si>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</si>
  <si>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</si>
  <si>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</si>
  <si>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</si>
  <si>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</si>
  <si>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</si>
  <si>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</si>
  <si>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</si>
  <si>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</si>
  <si>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</si>
  <si>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</si>
  <si>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</si>
  <si>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</si>
  <si>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</si>
  <si>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</si>
  <si>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</si>
  <si>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</si>
  <si>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</si>
  <si>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</si>
  <si>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</si>
  <si>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</si>
  <si>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</si>
  <si>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</si>
  <si>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</si>
  <si>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</si>
  <si>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</si>
  <si>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</si>
  <si>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</si>
  <si>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</si>
  <si>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</si>
  <si>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</si>
  <si>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</si>
  <si>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</si>
  <si>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</si>
  <si>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</si>
  <si>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</si>
  <si>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</si>
  <si>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</si>
  <si>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</si>
  <si>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</si>
  <si>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</si>
  <si>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</si>
  <si>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</si>
  <si>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</si>
  <si>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</si>
  <si>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</si>
  <si>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</si>
  <si>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</si>
  <si>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</si>
  <si>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</si>
  <si>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</si>
  <si>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</si>
  <si>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</si>
  <si>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</si>
  <si>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</si>
  <si>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</si>
  <si>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</si>
  <si>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</si>
  <si>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</si>
  <si>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</si>
  <si>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</si>
  <si>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</si>
  <si>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</si>
  <si>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</si>
  <si>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</si>
  <si>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</si>
  <si>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</si>
  <si>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</si>
  <si>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</si>
  <si>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</si>
  <si>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</si>
  <si>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</si>
  <si>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</si>
  <si>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</si>
  <si>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</si>
  <si>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</si>
  <si>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</si>
  <si>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</si>
  <si>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</si>
  <si>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</si>
  <si>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</si>
  <si>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</si>
  <si>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</si>
  <si>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</si>
  <si>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</si>
  <si>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</si>
  <si>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</si>
  <si>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</si>
  <si>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</si>
  <si>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</si>
  <si>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</si>
  <si>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</si>
  <si>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</si>
  <si>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</si>
  <si>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</si>
  <si>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</si>
  <si>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</si>
  <si>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</si>
  <si>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</si>
  <si>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</si>
  <si>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</si>
  <si>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</si>
  <si>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</si>
  <si>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</si>
  <si>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</si>
  <si>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</si>
  <si>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</si>
  <si>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</si>
  <si>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</si>
  <si>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</si>
  <si>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</si>
  <si>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</si>
  <si>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</si>
  <si>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</si>
  <si>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</si>
  <si>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</si>
  <si>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</si>
  <si>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</si>
  <si>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</si>
  <si>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</si>
  <si>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</si>
  <si>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</si>
  <si>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</si>
  <si>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</si>
  <si>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</si>
  <si>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</si>
  <si>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</si>
  <si>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</si>
  <si>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</si>
  <si>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</si>
  <si>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</si>
  <si>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</si>
  <si>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</si>
  <si>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</si>
  <si>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</si>
  <si>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</si>
  <si>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</si>
  <si>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</si>
  <si>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</si>
  <si>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</si>
  <si>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</si>
  <si>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</si>
  <si>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</si>
  <si>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</si>
  <si>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</si>
  <si>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</si>
  <si>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</si>
  <si>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</si>
  <si>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</si>
  <si>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</si>
  <si>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</si>
  <si>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</si>
  <si>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</si>
  <si>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</si>
  <si>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</si>
  <si>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</si>
  <si>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</si>
  <si>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</si>
  <si>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</si>
  <si>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</si>
  <si>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</si>
  <si>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</si>
  <si>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</si>
  <si>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</si>
  <si>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</si>
  <si>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</si>
  <si>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</si>
  <si>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</si>
  <si>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</si>
  <si>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</si>
  <si>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</si>
  <si>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</si>
  <si>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</si>
  <si>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</si>
  <si>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</si>
  <si>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</si>
  <si>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</si>
  <si>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</si>
  <si>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</si>
  <si>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</si>
  <si>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</si>
  <si>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</si>
  <si>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</si>
  <si>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</si>
  <si>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</si>
  <si>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</si>
  <si>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</si>
  <si>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</si>
  <si>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</si>
  <si>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</si>
  <si>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</si>
  <si>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</si>
  <si>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</si>
  <si>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</si>
  <si>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</si>
  <si>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</si>
  <si>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</si>
  <si>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</si>
  <si>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</si>
  <si>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</si>
  <si>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</si>
  <si>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</si>
  <si>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</si>
  <si>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</si>
  <si>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</si>
  <si>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</si>
  <si>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</si>
  <si>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</si>
  <si>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</si>
  <si>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</si>
  <si>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</si>
  <si>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</si>
  <si>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</si>
  <si>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</si>
  <si>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</si>
  <si>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</si>
  <si>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</si>
  <si>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</si>
  <si>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</si>
  <si>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</si>
  <si>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</si>
  <si>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</si>
  <si>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</si>
  <si>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</si>
  <si>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</si>
  <si>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</si>
  <si>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</si>
  <si>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</si>
  <si>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</si>
  <si>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</si>
  <si>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</si>
  <si>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</si>
  <si>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</si>
  <si>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</si>
  <si>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</si>
  <si>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</si>
  <si>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</si>
  <si>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</si>
  <si>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</si>
  <si>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</si>
  <si>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</si>
  <si>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</si>
  <si>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</si>
  <si>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</si>
  <si>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</si>
  <si>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</si>
  <si>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</si>
  <si>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</si>
  <si>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</si>
  <si>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</si>
  <si>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</si>
  <si>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</si>
  <si>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</si>
  <si>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</si>
  <si>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</si>
  <si>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</si>
  <si>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</si>
  <si>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</si>
  <si>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</si>
  <si>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</si>
  <si>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</si>
  <si>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</si>
  <si>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</si>
  <si>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</si>
  <si>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</si>
  <si>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</si>
  <si>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</si>
  <si>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</si>
  <si>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</si>
  <si>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</si>
  <si>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</si>
  <si>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</si>
  <si>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</si>
  <si>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</si>
  <si>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</si>
  <si>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</si>
  <si>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</si>
  <si>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</si>
  <si>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</si>
  <si>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</si>
  <si>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</si>
  <si>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</si>
  <si>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</si>
  <si>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</si>
  <si>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</si>
  <si>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</si>
  <si>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</si>
  <si>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</si>
  <si>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</si>
  <si>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</si>
  <si>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</si>
  <si>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</si>
  <si>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</si>
  <si>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</si>
  <si>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</si>
  <si>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</si>
  <si>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</si>
  <si>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</si>
  <si>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</si>
  <si>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</si>
  <si>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</si>
  <si>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</si>
  <si>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</si>
  <si>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</si>
  <si>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</si>
  <si>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</si>
  <si>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</si>
  <si>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</si>
  <si>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</si>
  <si>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</si>
  <si>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</si>
  <si>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</si>
  <si>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</si>
  <si>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</si>
  <si>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</si>
  <si>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</si>
  <si>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</si>
  <si>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</si>
  <si>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</si>
  <si>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</si>
  <si>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</si>
  <si>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</si>
  <si>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</si>
  <si>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</si>
  <si>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</si>
  <si>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</si>
  <si>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</si>
  <si>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</si>
  <si>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</si>
  <si>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</si>
  <si>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</si>
  <si>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</si>
  <si>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</si>
  <si>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</si>
  <si>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</si>
  <si>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</si>
  <si>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</si>
  <si>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</si>
  <si>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</si>
  <si>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</si>
  <si>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</si>
  <si>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</si>
  <si>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</si>
  <si>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</si>
  <si>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</si>
  <si>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</si>
  <si>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</si>
  <si>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</si>
  <si>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</si>
  <si>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</si>
  <si>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</si>
  <si>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</si>
  <si>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</si>
  <si>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</si>
  <si>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</si>
  <si>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</si>
  <si>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</si>
  <si>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</si>
  <si>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</si>
  <si>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</si>
  <si>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</si>
  <si>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</si>
  <si>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</si>
  <si>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</si>
  <si>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</si>
  <si>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</si>
  <si>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</si>
  <si>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</si>
  <si>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</si>
  <si>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</si>
  <si>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</si>
  <si>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</si>
  <si>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</si>
  <si>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</si>
  <si>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</si>
  <si>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</si>
  <si>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</si>
  <si>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</si>
  <si>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</si>
  <si>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</si>
  <si>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</si>
  <si>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</si>
  <si>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</si>
  <si>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</si>
  <si>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</si>
  <si>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</si>
  <si>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</si>
  <si>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</si>
  <si>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</si>
  <si>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</si>
  <si>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</si>
  <si>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</si>
  <si>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</si>
  <si>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</si>
  <si>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</si>
  <si>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</si>
  <si>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</si>
  <si>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</si>
  <si>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</si>
  <si>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</si>
  <si>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</si>
  <si>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</si>
  <si>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</si>
  <si>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</si>
  <si>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</si>
  <si>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</si>
  <si>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</si>
  <si>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</si>
  <si>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</si>
  <si>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</si>
  <si>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</si>
  <si>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</si>
  <si>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</si>
  <si>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</si>
  <si>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</si>
  <si>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</si>
  <si>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</si>
  <si>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</si>
  <si>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</si>
  <si>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</si>
  <si>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</si>
  <si>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</si>
  <si>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</si>
  <si>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</si>
  <si>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</si>
  <si>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</si>
  <si>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</si>
  <si>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</si>
  <si>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</si>
  <si>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</si>
  <si>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</si>
  <si>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</si>
  <si>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</si>
  <si>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</si>
  <si>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</si>
  <si>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</si>
  <si>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</si>
  <si>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</si>
  <si>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</si>
  <si>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</si>
  <si>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</si>
  <si>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</si>
  <si>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</si>
  <si>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</si>
  <si>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</si>
  <si>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</si>
  <si>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</si>
  <si>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</si>
  <si>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</si>
  <si>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</si>
  <si>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</si>
  <si>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</si>
  <si>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</si>
  <si>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</si>
  <si>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</si>
  <si>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</si>
  <si>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</si>
  <si>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</si>
  <si>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</si>
  <si>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</si>
  <si>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</si>
  <si>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</si>
  <si>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</si>
  <si>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</si>
  <si>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</si>
  <si>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</si>
  <si>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</si>
  <si>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</si>
  <si>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</si>
  <si>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</si>
  <si>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</si>
  <si>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</si>
  <si>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</si>
  <si>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</si>
  <si>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</si>
  <si>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</si>
  <si>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</si>
  <si>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</si>
  <si>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</si>
  <si>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</si>
  <si>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</si>
  <si>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</si>
  <si>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</si>
  <si>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</si>
  <si>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</si>
  <si>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</si>
  <si>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</si>
  <si>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</si>
  <si>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</si>
  <si>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</si>
  <si>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</si>
  <si>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</si>
  <si>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</si>
  <si>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</si>
  <si>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</si>
  <si>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</si>
  <si>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</si>
  <si>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</si>
  <si>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</si>
  <si>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</si>
  <si>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</si>
  <si>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</si>
  <si>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</si>
  <si>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</si>
  <si>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</si>
  <si>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</si>
  <si>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</si>
  <si>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</si>
  <si>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</si>
  <si>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</si>
  <si>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</si>
  <si>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</si>
  <si>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</si>
  <si>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</si>
  <si>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</si>
  <si>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</si>
  <si>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</si>
  <si>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</si>
  <si>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</si>
  <si>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</si>
  <si>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</si>
  <si>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</si>
  <si>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</si>
  <si>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</si>
  <si>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</si>
  <si>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</si>
  <si>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</si>
  <si>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</si>
  <si>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</si>
  <si>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</si>
  <si>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</si>
  <si>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</si>
  <si>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</si>
  <si>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</si>
  <si>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</si>
  <si>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</si>
  <si>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</si>
  <si>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</si>
  <si>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</si>
  <si>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</si>
  <si>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</si>
  <si>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</si>
  <si>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</si>
  <si>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</si>
  <si>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</si>
  <si>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</si>
  <si>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</si>
  <si>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</si>
  <si>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</si>
  <si>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</si>
  <si>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</si>
  <si>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</si>
  <si>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</si>
  <si>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</si>
  <si>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</si>
  <si>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</si>
  <si>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</si>
  <si>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</si>
  <si>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</si>
  <si>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</si>
  <si>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</si>
  <si>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</si>
  <si>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</si>
  <si>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</si>
  <si>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</si>
  <si>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</si>
  <si>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</si>
  <si>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</si>
  <si>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</si>
  <si>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</si>
  <si>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</si>
  <si>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</si>
  <si>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</si>
  <si>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</si>
  <si>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</si>
  <si>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</si>
  <si>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</si>
  <si>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</si>
  <si>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</si>
  <si>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</si>
  <si>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</si>
  <si>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</si>
  <si>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</si>
  <si>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</si>
  <si>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</si>
  <si>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</si>
  <si>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</si>
  <si>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</si>
  <si>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</si>
  <si>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</si>
  <si>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</si>
  <si>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</si>
  <si>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</si>
  <si>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</si>
  <si>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</si>
  <si>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</si>
  <si>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</si>
  <si>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</si>
  <si>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</si>
  <si>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</si>
  <si>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</si>
  <si>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</si>
  <si>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</si>
  <si>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</si>
  <si>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</si>
  <si>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</si>
  <si>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</si>
  <si>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</si>
  <si>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</si>
  <si>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</si>
  <si>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</si>
  <si>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</si>
  <si>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</si>
  <si>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</si>
  <si>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</si>
  <si>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</si>
  <si>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</si>
  <si>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</si>
  <si>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</si>
  <si>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</si>
  <si>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</si>
  <si>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</si>
  <si>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</si>
  <si>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</si>
  <si>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</si>
  <si>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</si>
  <si>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</si>
  <si>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</si>
  <si>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</si>
  <si>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</si>
  <si>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</si>
  <si>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</si>
  <si>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</si>
  <si>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</si>
  <si>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</si>
  <si>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</si>
  <si>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</si>
  <si>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</si>
  <si>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</si>
  <si>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</si>
  <si>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</si>
  <si>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</si>
  <si>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</si>
  <si>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</si>
  <si>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</si>
  <si>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</si>
  <si>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</si>
  <si>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</si>
  <si>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</si>
  <si>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</si>
  <si>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</si>
  <si>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</si>
  <si>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</si>
  <si>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</si>
  <si>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</si>
  <si>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</si>
  <si>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</si>
  <si>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</si>
  <si>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</si>
  <si>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</si>
  <si>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</si>
  <si>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</si>
  <si>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</si>
  <si>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</si>
  <si>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</si>
  <si>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</si>
  <si>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</si>
  <si>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</si>
  <si>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</si>
  <si>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</si>
  <si>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</si>
  <si>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</si>
  <si>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</si>
  <si>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</si>
  <si>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</si>
  <si>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</si>
  <si>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</si>
  <si>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</si>
  <si>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</si>
  <si>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</si>
  <si>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</si>
  <si>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</si>
  <si>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</si>
  <si>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</si>
  <si>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</si>
  <si>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</si>
  <si>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</si>
  <si>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</si>
  <si>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</si>
  <si>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</si>
  <si>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</si>
  <si>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</si>
  <si>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</si>
  <si>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</si>
  <si>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</si>
  <si>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</si>
  <si>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</si>
  <si>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</si>
  <si>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</si>
  <si>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</si>
  <si>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</si>
  <si>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</si>
  <si>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</si>
  <si>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</si>
  <si>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</si>
  <si>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</si>
  <si>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</si>
  <si>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</si>
  <si>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</si>
  <si>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</si>
  <si>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</si>
  <si>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</si>
  <si>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</si>
  <si>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</si>
  <si>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</si>
  <si>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</si>
  <si>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</si>
  <si>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</si>
  <si>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</si>
  <si>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</si>
  <si>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</si>
  <si>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</si>
  <si>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</si>
  <si>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</si>
  <si>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</si>
  <si>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</si>
  <si>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</si>
  <si>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</si>
  <si>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</si>
  <si>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</si>
  <si>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</si>
  <si>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</si>
  <si>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</si>
  <si>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</si>
  <si>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</si>
  <si>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</si>
  <si>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</si>
  <si>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</si>
  <si>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</si>
  <si>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</si>
  <si>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</si>
  <si>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</si>
  <si>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</si>
  <si>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</si>
  <si>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</si>
  <si>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</si>
  <si>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</si>
  <si>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</si>
  <si>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</si>
  <si>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</si>
  <si>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</si>
  <si>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</si>
  <si>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</si>
  <si>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</si>
  <si>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</si>
  <si>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</si>
  <si>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</si>
  <si>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</si>
  <si>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</si>
  <si>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</si>
  <si>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</si>
  <si>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</si>
  <si>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</si>
  <si>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</si>
  <si>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</si>
  <si>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</si>
  <si>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</si>
  <si>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</si>
  <si>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</si>
  <si>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</si>
  <si>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</si>
  <si>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</si>
  <si>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</si>
  <si>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</si>
  <si>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</si>
  <si>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</si>
  <si>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</si>
  <si>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</si>
  <si>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</si>
  <si>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</si>
  <si>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</si>
  <si>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</si>
  <si>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</si>
  <si>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</si>
  <si>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</si>
  <si>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</si>
  <si>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</si>
  <si>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</si>
  <si>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</si>
  <si>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</si>
  <si>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</si>
  <si>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</si>
  <si>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</si>
  <si>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</si>
  <si>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</si>
  <si>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</si>
  <si>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</si>
  <si>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</si>
  <si>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</si>
  <si>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</si>
  <si>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</si>
  <si>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</si>
  <si>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</si>
  <si>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</si>
  <si>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</si>
  <si>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</si>
  <si>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</si>
  <si>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</si>
  <si>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</si>
  <si>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</si>
  <si>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</si>
  <si>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</si>
  <si>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</si>
  <si>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</si>
  <si>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</si>
  <si>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</si>
  <si>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</si>
  <si>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</si>
  <si>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</si>
  <si>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</si>
  <si>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</si>
  <si>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</si>
  <si>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</si>
  <si>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</si>
  <si>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</si>
  <si>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</si>
  <si>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</si>
  <si>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</si>
  <si>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</si>
  <si>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</si>
  <si>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</si>
  <si>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</si>
  <si>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</si>
  <si>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</si>
  <si>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</si>
  <si>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</si>
  <si>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</si>
  <si>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</si>
  <si>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</si>
  <si>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</si>
  <si>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</si>
  <si>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</si>
  <si>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</si>
  <si>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</si>
  <si>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</si>
  <si>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</si>
  <si>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</si>
  <si>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</si>
  <si>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</si>
  <si>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</si>
  <si>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</si>
  <si>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</si>
  <si>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</si>
  <si>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</si>
  <si>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</si>
  <si>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</si>
  <si>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</si>
  <si>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</si>
  <si>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</si>
  <si>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</si>
  <si>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</si>
  <si>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</si>
  <si>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</si>
  <si>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</si>
  <si>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</si>
  <si>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</si>
  <si>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</si>
  <si>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</si>
  <si>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</si>
  <si>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</si>
  <si>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</si>
  <si>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</si>
  <si>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</si>
  <si>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</si>
  <si>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</si>
  <si>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</si>
  <si>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</si>
  <si>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</si>
  <si>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</si>
  <si>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</si>
  <si>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</si>
  <si>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</si>
  <si>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</si>
  <si>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</si>
  <si>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</si>
  <si>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</si>
  <si>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</si>
  <si>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</si>
  <si>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</si>
  <si>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</si>
  <si>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</si>
  <si>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</si>
  <si>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</si>
  <si>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</si>
  <si>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</si>
  <si>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</si>
  <si>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</si>
  <si>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</si>
  <si>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</si>
  <si>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</si>
  <si>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</si>
  <si>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</si>
  <si>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</si>
  <si>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</si>
  <si>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</si>
  <si>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</si>
  <si>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</si>
  <si>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</si>
  <si>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</si>
  <si>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</si>
  <si>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</si>
  <si>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</si>
  <si>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</si>
  <si>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</si>
  <si>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</si>
  <si>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</si>
  <si>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</si>
  <si>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</si>
  <si>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</si>
  <si>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</si>
  <si>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</si>
  <si>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</si>
  <si>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</si>
  <si>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</si>
  <si>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</si>
  <si>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</si>
  <si>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</si>
  <si>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</si>
  <si>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</si>
  <si>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</si>
  <si>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</si>
  <si>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</si>
  <si>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</si>
  <si>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</si>
  <si>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</si>
  <si>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</si>
  <si>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</si>
  <si>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</si>
  <si>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</si>
  <si>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</si>
  <si>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</si>
  <si>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</si>
  <si>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</si>
  <si>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</si>
  <si>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</si>
  <si>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</si>
  <si>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</si>
  <si>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</si>
  <si>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</si>
  <si>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</si>
  <si>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</si>
  <si>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</si>
  <si>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</si>
  <si>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</si>
  <si>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</si>
  <si>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</si>
  <si>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</si>
  <si>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</si>
  <si>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</si>
  <si>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</si>
  <si>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</si>
  <si>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</si>
  <si>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</si>
  <si>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</si>
  <si>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</si>
  <si>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</si>
  <si>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</si>
  <si>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</si>
  <si>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</si>
  <si>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</si>
  <si>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</si>
  <si>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</si>
  <si>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</si>
  <si>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</si>
  <si>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</si>
  <si>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</si>
  <si>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</si>
  <si>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</si>
  <si>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</si>
  <si>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</si>
  <si>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</si>
  <si>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</si>
  <si>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</si>
  <si>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</si>
  <si>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</si>
  <si>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</si>
  <si>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</si>
  <si>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</si>
  <si>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</si>
  <si>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</si>
  <si>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</si>
  <si>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</si>
  <si>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</si>
  <si>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</si>
  <si>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</si>
  <si>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</si>
  <si>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</si>
  <si>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</si>
  <si>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</si>
  <si>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</si>
  <si>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</si>
  <si>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</si>
  <si>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</si>
  <si>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</si>
  <si>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</si>
  <si>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</si>
  <si>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</si>
  <si>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</si>
  <si>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</si>
  <si>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</si>
  <si>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</si>
  <si>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</si>
  <si>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</si>
  <si>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</si>
  <si>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</si>
  <si>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</si>
  <si>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</si>
  <si>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</si>
  <si>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</si>
  <si>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</si>
  <si>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</si>
  <si>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</si>
  <si>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</si>
  <si>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</si>
  <si>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</si>
  <si>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</si>
  <si>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</si>
  <si>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</si>
  <si>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</si>
  <si>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</si>
  <si>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</si>
  <si>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</si>
  <si>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</si>
  <si>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</si>
  <si>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</si>
  <si>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</si>
  <si>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</si>
  <si>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</si>
  <si>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</si>
  <si>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</si>
  <si>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</si>
  <si>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</si>
  <si>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</si>
  <si>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</si>
  <si>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</si>
  <si>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</si>
  <si>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</si>
  <si>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</si>
  <si>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</si>
  <si>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</si>
  <si>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</si>
  <si>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</si>
  <si>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</si>
  <si>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</si>
  <si>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</si>
  <si>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</si>
  <si>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</si>
  <si>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</si>
  <si>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</si>
  <si>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</si>
  <si>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</si>
  <si>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</si>
  <si>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</si>
  <si>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</si>
  <si>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</si>
  <si>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</si>
  <si>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</si>
  <si>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</si>
  <si>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</si>
  <si>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</si>
  <si>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</si>
  <si>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</si>
  <si>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</si>
  <si>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</si>
  <si>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</si>
  <si>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</si>
  <si>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</si>
  <si>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</si>
  <si>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</si>
  <si>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</si>
  <si>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</si>
  <si>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</si>
  <si>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</si>
  <si>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</si>
  <si>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</si>
  <si>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</si>
  <si>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</si>
  <si>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</si>
  <si>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</si>
  <si>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</si>
  <si>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</si>
  <si>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</si>
  <si>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</si>
  <si>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</si>
  <si>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</si>
  <si>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</si>
  <si>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</si>
  <si>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</si>
  <si>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</si>
  <si>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</si>
  <si>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</si>
  <si>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</si>
  <si>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</si>
  <si>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</si>
  <si>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</si>
  <si>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</si>
  <si>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</si>
  <si>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</si>
  <si>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</si>
  <si>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</si>
  <si>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</si>
  <si>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</si>
  <si>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</si>
  <si>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</si>
  <si>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</si>
  <si>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</si>
  <si>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</si>
  <si>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</si>
  <si>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</si>
  <si>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</si>
  <si>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</si>
  <si>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</si>
  <si>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</si>
  <si>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</si>
  <si>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</si>
  <si>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</si>
  <si>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</si>
  <si>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</si>
  <si>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</si>
  <si>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</si>
  <si>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</si>
  <si>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</si>
  <si>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</si>
  <si>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</si>
  <si>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</si>
  <si>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</si>
  <si>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</si>
  <si>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</si>
  <si>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</si>
  <si>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</si>
  <si>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</si>
  <si>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</si>
  <si>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</si>
  <si>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</si>
  <si>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</si>
  <si>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</si>
  <si>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</si>
  <si>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</si>
  <si>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</si>
  <si>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</si>
  <si>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</si>
  <si>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</si>
  <si>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</si>
  <si>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</si>
  <si>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</si>
  <si>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</si>
  <si>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</si>
  <si>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</si>
  <si>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</si>
  <si>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</si>
  <si>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</si>
  <si>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</si>
  <si>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</si>
  <si>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</si>
  <si>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</si>
  <si>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</si>
  <si>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</si>
  <si>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</si>
  <si>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</si>
  <si>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</si>
  <si>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</si>
  <si>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</si>
  <si>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</si>
  <si>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</si>
  <si>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</si>
  <si>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</si>
  <si>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</si>
  <si>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</si>
  <si>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</si>
  <si>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</si>
  <si>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</si>
  <si>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</si>
  <si>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</si>
  <si>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</si>
  <si>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</si>
  <si>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</si>
  <si>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</si>
  <si>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</si>
  <si>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</si>
  <si>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</si>
  <si>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</si>
  <si>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</si>
  <si>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</si>
  <si>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</si>
  <si>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</si>
  <si>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</si>
  <si>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</si>
  <si>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</si>
  <si>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</si>
  <si>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</si>
  <si>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</si>
  <si>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</si>
  <si>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</si>
  <si>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</si>
  <si>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</si>
  <si>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</si>
  <si>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</si>
  <si>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</si>
  <si>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</si>
  <si>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</si>
  <si>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</si>
  <si>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</si>
  <si>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</si>
  <si>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</si>
  <si>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</si>
  <si>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</si>
  <si>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</si>
  <si>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</si>
  <si>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</si>
  <si>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</si>
  <si>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</si>
  <si>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</si>
  <si>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</si>
  <si>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</si>
  <si>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</si>
  <si>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</si>
  <si>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</si>
  <si>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</si>
  <si>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</si>
  <si>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</si>
  <si>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</si>
  <si>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</si>
  <si>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</si>
  <si>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</si>
  <si>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</si>
  <si>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</si>
  <si>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</si>
  <si>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</si>
  <si>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</si>
  <si>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</si>
  <si>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</si>
  <si>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</si>
  <si>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</si>
  <si>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</si>
  <si>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</si>
  <si>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</si>
  <si>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</si>
  <si>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</si>
  <si>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</si>
  <si>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</si>
  <si>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</si>
  <si>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</si>
  <si>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</si>
  <si>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</si>
  <si>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</si>
  <si>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</si>
  <si>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</si>
  <si>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</si>
  <si>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</si>
  <si>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</si>
  <si>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</si>
  <si>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</si>
  <si>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</si>
  <si>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</si>
  <si>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</si>
  <si>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</si>
  <si>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</si>
  <si>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</si>
  <si>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</si>
  <si>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</si>
  <si>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</si>
  <si>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</si>
  <si>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</si>
  <si>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</si>
  <si>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</si>
  <si>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</si>
  <si>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</si>
  <si>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</si>
  <si>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</si>
  <si>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</si>
  <si>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</si>
  <si>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</si>
  <si>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</si>
  <si>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</si>
  <si>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</si>
  <si>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</si>
  <si>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</si>
  <si>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</si>
  <si>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</si>
  <si>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</si>
  <si>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</si>
  <si>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</si>
  <si>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</si>
  <si>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</si>
  <si>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</si>
  <si>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</si>
  <si>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</si>
  <si>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</si>
  <si>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</si>
  <si>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</si>
  <si>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</si>
  <si>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</si>
  <si>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</si>
  <si>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</si>
  <si>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</si>
  <si>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</si>
  <si>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</si>
  <si>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</si>
  <si>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</si>
  <si>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</si>
  <si>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</si>
  <si>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</si>
  <si>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</si>
  <si>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</si>
  <si>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</si>
  <si>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</si>
  <si>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</si>
  <si>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</si>
  <si>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</si>
  <si>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</si>
  <si>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</si>
  <si>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</si>
  <si>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</si>
  <si>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</si>
  <si>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</si>
  <si>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</si>
  <si>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</si>
  <si>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</si>
  <si>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</si>
  <si>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</si>
  <si>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</si>
  <si>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</si>
  <si>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</si>
  <si>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</si>
  <si>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</si>
  <si>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</si>
  <si>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</si>
  <si>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</si>
  <si>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</si>
  <si>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</si>
  <si>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</si>
  <si>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</si>
  <si>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</si>
  <si>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</si>
  <si>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</si>
  <si>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</si>
  <si>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</si>
  <si>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</si>
  <si>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</si>
  <si>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</si>
  <si>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</si>
  <si>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</si>
  <si>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</si>
  <si>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</si>
  <si>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</si>
  <si>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</si>
  <si>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</si>
  <si>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</si>
  <si>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</si>
  <si>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</si>
  <si>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</si>
  <si>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</si>
  <si>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</si>
  <si>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</si>
  <si>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</si>
  <si>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</si>
  <si>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</si>
  <si>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</si>
  <si>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</si>
  <si>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</si>
  <si>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</si>
  <si>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</si>
  <si>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</si>
  <si>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</si>
  <si>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</si>
  <si>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</si>
  <si>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</si>
  <si>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</si>
  <si>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</si>
  <si>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</si>
  <si>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</si>
  <si>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</si>
  <si>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</si>
  <si>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</si>
  <si>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</si>
  <si>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</si>
  <si>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</si>
  <si>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</si>
  <si>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</si>
  <si>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</si>
  <si>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</si>
  <si>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</si>
  <si>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</si>
  <si>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</si>
  <si>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</si>
  <si>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</si>
  <si>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</si>
  <si>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</si>
  <si>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</si>
  <si>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</si>
  <si>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</si>
  <si>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</si>
  <si>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</si>
  <si>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</si>
  <si>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</si>
  <si>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</si>
  <si>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</si>
  <si>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</si>
  <si>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</si>
  <si>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</si>
  <si>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</si>
  <si>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</si>
  <si>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</si>
  <si>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</si>
  <si>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</si>
  <si>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</si>
  <si>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</si>
  <si>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</si>
  <si>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</si>
  <si>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</si>
  <si>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</si>
  <si>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</si>
  <si>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</si>
  <si>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</si>
  <si>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</si>
  <si>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</si>
  <si>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</si>
  <si>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</si>
  <si>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</si>
  <si>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</si>
  <si>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</si>
  <si>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</si>
  <si>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</si>
  <si>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</si>
  <si>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</si>
  <si>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</si>
  <si>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</si>
  <si>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</si>
  <si>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</si>
  <si>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</si>
  <si>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</si>
  <si>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</si>
  <si>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</si>
  <si>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</si>
  <si>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</si>
  <si>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</si>
  <si>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</si>
  <si>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</si>
  <si>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</si>
  <si>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</si>
  <si>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</si>
  <si>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</si>
  <si>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</si>
  <si>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</si>
  <si>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</si>
  <si>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</si>
  <si>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</si>
  <si>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</si>
  <si>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</si>
  <si>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</si>
  <si>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</si>
  <si>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</si>
  <si>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</si>
  <si>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</si>
  <si>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</si>
  <si>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</si>
  <si>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</si>
  <si>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</si>
  <si>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</si>
  <si>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</si>
  <si>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</si>
  <si>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</si>
  <si>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</si>
  <si>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</si>
  <si>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</si>
  <si>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</si>
  <si>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</si>
  <si>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</si>
  <si>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</si>
  <si>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</si>
  <si>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</si>
  <si>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</si>
  <si>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</si>
  <si>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</si>
  <si>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</si>
  <si>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</si>
  <si>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</si>
  <si>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</si>
  <si>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</si>
  <si>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</si>
  <si>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</si>
  <si>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</si>
  <si>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</si>
  <si>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</si>
  <si>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</si>
  <si>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</si>
  <si>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</si>
  <si>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</si>
  <si>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</si>
  <si>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</si>
  <si>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</si>
  <si>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</si>
  <si>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</si>
  <si>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</si>
  <si>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</si>
  <si>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</si>
  <si>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</si>
  <si>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</si>
  <si>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</si>
  <si>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</si>
  <si>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</si>
  <si>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</si>
  <si>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</si>
  <si>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</si>
  <si>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</si>
  <si>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</si>
  <si>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</si>
  <si>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</si>
  <si>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</si>
  <si>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</si>
  <si>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</si>
  <si>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</si>
  <si>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</si>
  <si>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</si>
  <si>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</si>
  <si>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</si>
  <si>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</si>
  <si>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</si>
  <si>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</si>
  <si>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</si>
  <si>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</si>
  <si>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</si>
  <si>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</si>
  <si>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</si>
  <si>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</si>
  <si>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</si>
  <si>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</si>
  <si>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</si>
  <si>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</si>
  <si>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</si>
  <si>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</si>
  <si>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</si>
  <si>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</si>
  <si>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</si>
  <si>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</si>
  <si>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</si>
  <si>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</si>
  <si>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</si>
  <si>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</si>
  <si>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</si>
  <si>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</si>
  <si>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</si>
  <si>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</si>
  <si>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</si>
  <si>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</si>
  <si>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</si>
  <si>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</si>
  <si>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</si>
  <si>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</si>
  <si>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</si>
  <si>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</si>
  <si>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</si>
  <si>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</si>
  <si>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</si>
  <si>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</si>
  <si>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</si>
  <si>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</si>
  <si>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</si>
  <si>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</si>
  <si>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</si>
  <si>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</si>
  <si>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</si>
  <si>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</si>
  <si>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</si>
  <si>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</si>
  <si>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</si>
  <si>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</si>
  <si>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</si>
  <si>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</si>
  <si>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</si>
  <si>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</si>
  <si>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</si>
  <si>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</si>
  <si>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</si>
  <si>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</si>
  <si>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</si>
  <si>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</si>
  <si>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</si>
  <si>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</si>
  <si>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</si>
  <si>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</si>
  <si>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</si>
  <si>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</si>
  <si>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</si>
  <si>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</si>
  <si>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</si>
  <si>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</si>
  <si>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</si>
  <si>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</si>
  <si>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</si>
  <si>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</si>
  <si>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</si>
  <si>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</si>
  <si>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</si>
  <si>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</si>
  <si>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</si>
  <si>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</si>
  <si>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</si>
  <si>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</si>
  <si>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</si>
  <si>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</si>
  <si>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</si>
  <si>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</si>
  <si>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</si>
  <si>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</si>
  <si>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</si>
  <si>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</si>
  <si>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</si>
  <si>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</si>
  <si>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</si>
  <si>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</si>
  <si>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</si>
  <si>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</si>
  <si>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</si>
  <si>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</si>
  <si>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</si>
  <si>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</si>
  <si>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</si>
  <si>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</si>
  <si>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</si>
  <si>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</si>
  <si>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</si>
  <si>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</si>
  <si>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</si>
  <si>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</si>
  <si>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</si>
  <si>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</si>
  <si>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</si>
  <si>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</si>
  <si>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</si>
  <si>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</si>
  <si>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</si>
  <si>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</si>
  <si>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</si>
  <si>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</si>
  <si>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</si>
  <si>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</si>
  <si>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</si>
  <si>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</si>
  <si>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</si>
  <si>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</si>
  <si>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</si>
  <si>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</si>
  <si>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</si>
  <si>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</si>
  <si>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</si>
  <si>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</si>
  <si>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</si>
  <si>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</si>
  <si>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</si>
  <si>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</si>
  <si>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</si>
  <si>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</si>
  <si>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</si>
  <si>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</si>
  <si>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</si>
  <si>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</si>
  <si>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</si>
  <si>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</si>
  <si>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</si>
  <si>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</si>
  <si>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</si>
  <si>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</si>
  <si>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</si>
  <si>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</si>
  <si>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</si>
  <si>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</si>
  <si>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</si>
  <si>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</si>
  <si>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</si>
  <si>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</si>
  <si>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</si>
  <si>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</si>
  <si>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</si>
  <si>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</si>
  <si>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</si>
  <si>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</si>
  <si>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</si>
  <si>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</si>
  <si>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</si>
  <si>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</si>
  <si>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</si>
  <si>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</si>
  <si>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</si>
  <si>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</si>
  <si>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</si>
  <si>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</si>
  <si>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</si>
  <si>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</si>
  <si>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</si>
  <si>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</si>
  <si>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</si>
  <si>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</si>
  <si>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</si>
  <si>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</si>
  <si>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</si>
  <si>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</si>
  <si>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</si>
  <si>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</si>
  <si>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</si>
  <si>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</si>
  <si>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</si>
  <si>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</si>
  <si>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</si>
  <si>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</si>
  <si>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</si>
  <si>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</si>
  <si>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</si>
  <si>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</si>
  <si>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</si>
  <si>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</si>
  <si>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</si>
  <si>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</si>
  <si>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</si>
  <si>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</si>
  <si>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</si>
  <si>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</si>
  <si>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</si>
  <si>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</si>
  <si>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</si>
  <si>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</si>
  <si>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</si>
  <si>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</si>
  <si>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</si>
  <si>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</si>
  <si>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</si>
  <si>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</si>
  <si>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</si>
  <si>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</si>
  <si>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</si>
  <si>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</si>
  <si>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</si>
  <si>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</si>
  <si>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</si>
  <si>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</si>
  <si>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</si>
  <si>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</si>
  <si>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</si>
  <si>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</si>
  <si>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</si>
  <si>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</si>
  <si>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</si>
  <si>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</si>
  <si>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</si>
  <si>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</si>
  <si>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</si>
  <si>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</si>
  <si>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</si>
  <si>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</si>
  <si>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</si>
  <si>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</si>
  <si>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</si>
  <si>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</si>
  <si>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</si>
  <si>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</si>
  <si>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</si>
  <si>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</si>
  <si>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</si>
  <si>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</si>
  <si>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</si>
  <si>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</si>
  <si>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</si>
  <si>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</si>
  <si>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</si>
  <si>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</si>
  <si>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</si>
  <si>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</si>
  <si>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</si>
  <si>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</si>
  <si>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</si>
  <si>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</si>
  <si>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</si>
  <si>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</si>
  <si>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</si>
  <si>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</si>
  <si>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</si>
  <si>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</si>
  <si>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</si>
  <si>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</si>
  <si>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</si>
  <si>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</si>
  <si>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</si>
  <si>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</si>
  <si>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</si>
  <si>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</si>
  <si>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</si>
  <si>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</si>
  <si>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</si>
  <si>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</si>
  <si>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</si>
  <si>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</si>
  <si>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</si>
  <si>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</si>
  <si>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</si>
  <si>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</si>
  <si>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</si>
  <si>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</si>
  <si>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</si>
  <si>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</si>
  <si>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</si>
  <si>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</si>
  <si>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</si>
  <si>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</si>
  <si>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</si>
  <si>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</si>
  <si>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</si>
  <si>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</si>
  <si>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</si>
  <si>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</si>
  <si>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</si>
  <si>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</si>
  <si>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</si>
  <si>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</si>
  <si>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</si>
  <si>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</si>
  <si>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</si>
  <si>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</si>
  <si>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</si>
  <si>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</si>
  <si>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</si>
  <si>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</si>
  <si>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</si>
  <si>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</si>
  <si>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</si>
  <si>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</si>
  <si>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</si>
  <si>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</si>
  <si>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</si>
  <si>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</si>
  <si>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</si>
  <si>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</si>
  <si>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</si>
  <si>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</si>
  <si>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</si>
  <si>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</si>
  <si>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</si>
  <si>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</si>
  <si>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</si>
  <si>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</si>
  <si>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</si>
  <si>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</si>
  <si>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</si>
  <si>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</si>
  <si>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</si>
  <si>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</si>
  <si>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</si>
  <si>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</si>
  <si>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</si>
  <si>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Sum of Profit</t>
  </si>
  <si>
    <t>Sum of Sales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</si>
  <si>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</si>
  <si>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</si>
  <si>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</si>
  <si>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</si>
  <si>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</si>
  <si>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</si>
  <si>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</si>
  <si>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</si>
  <si>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</si>
  <si>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</si>
  <si>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</si>
  <si>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		
		</t>
  </si>
  <si>
    <t>Nov</t>
  </si>
  <si>
    <t>Dec</t>
  </si>
  <si>
    <t>COOKIE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</si>
</sst>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7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24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0" fillId="0" borderId="0" xfId="0" applyNumberFormat="1"/>
    <xf numFmtId="0" fontId="0" fillId="0" borderId="0" xfId="0" pivotButton="1"/>
    <xf numFmtId="49" fontId="1" fillId="0" borderId="1" xfId="0" applyNumberFormat="1" applyFont="1" applyFill="1" applyBorder="1" applyAlignment="1"/>
    <xf numFmtId="49" fontId="2" fillId="0" borderId="0" xfId="0" applyNumberFormat="1" applyFont="1" applyFill="1" applyAlignment="1"/>
    <xf numFmtId="0" fontId="6" fillId="4" borderId="0" xfId="0" applyFont="1" applyFill="1"/>
    <xf numFmtId="0" fontId="0" fillId="0" borderId="0" xfId="0" applyAlignment="1">
      <alignment wrapText="1"/>
    </xf>
    <xf numFmtId="0" fontId="0" fillId="4" borderId="11" xfId="0" applyFill="1" applyBorder="1" applyAlignment="1"/>
    <xf numFmtId="0" fontId="3" fillId="3" borderId="0" xfId="0" applyFont="1" applyFill="1" applyAlignment="1">
      <alignment horizontal="center" vertical="center"/>
    </xf>
    <xf numFmtId="0" fontId="6" fillId="4" borderId="0" xfId="0" applyFont="1" applyFill="1" applyAlignment="1"/>
    <xf numFmtId="0" fontId="0" fillId="4" borderId="0" xfId="0" applyFill="1" applyAlignment="1"/>
    <xf numFmtId="164" fontId="5" fillId="2" borderId="3" xfId="0" applyNumberFormat="1" applyFont="1" applyFill="1" applyBorder="1" applyAlignment="1">
      <alignment horizontal="center" indent="2"/>
    </xf>
    <xf numFmtId="164" fontId="5" fillId="2" borderId="4" xfId="0" applyNumberFormat="1" applyFont="1" applyFill="1" applyBorder="1" applyAlignment="1">
      <alignment horizontal="center" indent="2"/>
    </xf>
    <xf numFmtId="164" fontId="5" fillId="2" borderId="5" xfId="0" applyNumberFormat="1" applyFont="1" applyFill="1" applyBorder="1" applyAlignment="1">
      <alignment horizontal="center" indent="2"/>
    </xf>
    <xf numFmtId="164" fontId="5" fillId="2" borderId="6" xfId="0" applyNumberFormat="1" applyFont="1" applyFill="1" applyBorder="1" applyAlignment="1">
      <alignment horizontal="center" indent="2"/>
    </xf>
    <xf numFmtId="164" fontId="5" fillId="2" borderId="0" xfId="0" applyNumberFormat="1" applyFont="1" applyFill="1" applyBorder="1" applyAlignment="1">
      <alignment horizontal="center" indent="2"/>
    </xf>
    <xf numFmtId="164" fontId="5" fillId="2" borderId="7" xfId="0" applyNumberFormat="1" applyFont="1" applyFill="1" applyBorder="1" applyAlignment="1">
      <alignment horizontal="center" indent="2"/>
    </xf>
    <xf numFmtId="164" fontId="5" fillId="2" borderId="8" xfId="0" applyNumberFormat="1" applyFont="1" applyFill="1" applyBorder="1" applyAlignment="1">
      <alignment horizontal="center" indent="2"/>
    </xf>
    <xf numFmtId="164" fontId="5" fillId="2" borderId="9" xfId="0" applyNumberFormat="1" applyFont="1" applyFill="1" applyBorder="1" applyAlignment="1">
      <alignment horizontal="center" indent="2"/>
    </xf>
    <xf numFmtId="164" fontId="5" fillId="2" borderId="10" xfId="0" applyNumberFormat="1" applyFont="1" applyFill="1" applyBorder="1" applyAlignment="1">
      <alignment horizontal="center" indent="2"/>
    </xf>
    <xf numFmtId="164" fontId="4" fillId="2" borderId="3" xfId="0" applyNumberFormat="1" applyFont="1" applyFill="1" applyBorder="1" applyAlignment="1">
      <alignment horizontal="center" indent="1"/>
    </xf>
    <xf numFmtId="164" fontId="4" fillId="2" borderId="4" xfId="0" applyNumberFormat="1" applyFont="1" applyFill="1" applyBorder="1" applyAlignment="1">
      <alignment horizontal="center" indent="1"/>
    </xf>
    <xf numFmtId="164" fontId="4" fillId="2" borderId="5" xfId="0" applyNumberFormat="1" applyFont="1" applyFill="1" applyBorder="1" applyAlignment="1">
      <alignment horizontal="center" indent="1"/>
    </xf>
    <xf numFmtId="164" fontId="4" fillId="2" borderId="6" xfId="0" applyNumberFormat="1" applyFont="1" applyFill="1" applyBorder="1" applyAlignment="1">
      <alignment horizontal="center" indent="1"/>
    </xf>
    <xf numFmtId="164" fontId="4" fillId="2" borderId="0" xfId="0" applyNumberFormat="1" applyFont="1" applyFill="1" applyBorder="1" applyAlignment="1">
      <alignment horizontal="center" indent="1"/>
    </xf>
    <xf numFmtId="164" fontId="4" fillId="2" borderId="7" xfId="0" applyNumberFormat="1" applyFont="1" applyFill="1" applyBorder="1" applyAlignment="1">
      <alignment horizontal="center" indent="1"/>
    </xf>
    <xf numFmtId="164" fontId="4" fillId="2" borderId="8" xfId="0" applyNumberFormat="1" applyFont="1" applyFill="1" applyBorder="1" applyAlignment="1">
      <alignment horizontal="center" indent="1"/>
    </xf>
    <xf numFmtId="164" fontId="4" fillId="2" borderId="9" xfId="0" applyNumberFormat="1" applyFont="1" applyFill="1" applyBorder="1" applyAlignment="1">
      <alignment horizontal="center" indent="1"/>
    </xf>
    <xf numFmtId="164" fontId="4" fillId="2" borderId="10" xfId="0" applyNumberFormat="1" applyFont="1" applyFill="1" applyBorder="1" applyAlignment="1">
      <alignment horizontal="center" inden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7" xfId="0" applyNumberFormat="1" applyFont="1" applyFill="1" applyBorder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A0C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Analysis!$A$4:$A$7</c:f>
              <c:strCache>
                <c:ptCount val="3"/>
                <c:pt idx="0">
                  <c:v>Butter Cookie</c:v>
                </c:pt>
                <c:pt idx="1">
                  <c:v>Chocolate Chip</c:v>
                </c:pt>
                <c:pt idx="2">
                  <c:v>Double Choco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98981.669999999955</c:v>
                </c:pt>
                <c:pt idx="1">
                  <c:v>92927.650000000009</c:v>
                </c:pt>
                <c:pt idx="2">
                  <c:v>86690.819999999992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4-48DE-8179-75F5B60F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928967"/>
        <c:axId val="1837931015"/>
      </c:barChart>
      <c:catAx>
        <c:axId val="1837928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31015"/>
        <c:crosses val="autoZero"/>
        <c:auto val="1"/>
        <c:lblAlgn val="ctr"/>
        <c:lblOffset val="100"/>
        <c:noMultiLvlLbl val="0"/>
      </c:catAx>
      <c:valAx>
        <c:axId val="183793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28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SALE.xlsx]Analysis!PivotTable16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Analysis!$K$4:$K$7</c:f>
              <c:strCache>
                <c:ptCount val="3"/>
                <c:pt idx="0">
                  <c:v>Butter Cookie</c:v>
                </c:pt>
                <c:pt idx="1">
                  <c:v>Chocolate Chip</c:v>
                </c:pt>
                <c:pt idx="2">
                  <c:v>Double Choco</c:v>
                </c:pt>
              </c:strCache>
            </c:strRef>
          </c:cat>
          <c:val>
            <c:numRef>
              <c:f>Analysis!$L$4:$L$7</c:f>
              <c:numCache>
                <c:formatCode>General</c:formatCode>
                <c:ptCount val="3"/>
                <c:pt idx="0">
                  <c:v>341619.60999999975</c:v>
                </c:pt>
                <c:pt idx="1">
                  <c:v>302925.65999999986</c:v>
                </c:pt>
                <c:pt idx="2">
                  <c:v>290475.35999999993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7-4BE0-B4E4-38BEE9684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554120"/>
        <c:axId val="1898841096"/>
      </c:barChart>
      <c:catAx>
        <c:axId val="177455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41096"/>
        <c:crosses val="autoZero"/>
        <c:auto val="1"/>
        <c:lblAlgn val="ctr"/>
        <c:lblOffset val="100"/>
        <c:noMultiLvlLbl val="0"/>
      </c:catAx>
      <c:valAx>
        <c:axId val="189884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5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6"/>
              <c:pt idx="0">
                <c:v>Ahmedabad</c:v>
              </c:pt>
              <c:pt idx="1">
                <c:v>Bengaluru</c:v>
              </c:pt>
              <c:pt idx="2">
                <c:v>Delhi</c:v>
              </c:pt>
              <c:pt idx="3">
                <c:v>Jaipur</c:v>
              </c:pt>
              <c:pt idx="4">
                <c:v>Mumbai</c:v>
              </c:pt>
              <c:pt idx="5">
                <c:v>Pune</c:v>
              </c:pt>
            </c:strLit>
          </c:cat>
          <c:val>
            <c:numLit>
              <c:formatCode>General</c:formatCode>
              <c:ptCount val="6"/>
              <c:pt idx="0">
                <c:v>1321356.2000000002</c:v>
              </c:pt>
              <c:pt idx="1">
                <c:v>1267211.4100000001</c:v>
              </c:pt>
              <c:pt idx="2">
                <c:v>1374496.2599999998</c:v>
              </c:pt>
              <c:pt idx="3">
                <c:v>1357825.8399999992</c:v>
              </c:pt>
              <c:pt idx="4">
                <c:v>1256653.1800000002</c:v>
              </c:pt>
              <c:pt idx="5">
                <c:v>1247935.6400000006</c:v>
              </c:pt>
            </c:numLit>
          </c:val>
          <c:extLst>
            <c:ext xmlns:c16="http://schemas.microsoft.com/office/drawing/2014/chart" uri="{C3380CC4-5D6E-409C-BE32-E72D297353CC}">
              <c16:uniqueId val="{00000000-814B-4604-9C97-BD4316472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7735"/>
        <c:axId val="4299783"/>
      </c:barChart>
      <c:valAx>
        <c:axId val="4299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735"/>
        <c:crosses val="autoZero"/>
        <c:crossBetween val="between"/>
      </c:valAx>
      <c:catAx>
        <c:axId val="4297735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SALE.xlsx]Analysis!PivotTable18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F3-4877-B2AF-067965A8B9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F3-4877-B2AF-067965A8B903}"/>
              </c:ext>
            </c:extLst>
          </c:dPt>
          <c:cat>
            <c:strRef>
              <c:f>Analysis!$S$4:$S$6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Analysis!$T$4:$T$6</c:f>
              <c:numCache>
                <c:formatCode>General</c:formatCode>
                <c:ptCount val="2"/>
                <c:pt idx="0">
                  <c:v>134409.11000000004</c:v>
                </c:pt>
                <c:pt idx="1">
                  <c:v>144191.02999999997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9-4C4C-A8E5-76F3A27A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Analysis!$K$14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Analysis!$J$15:$J$27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Analysis!$K$15:$K$27</c:f>
              <c:numCache>
                <c:formatCode>General</c:formatCode>
                <c:ptCount val="12"/>
                <c:pt idx="0">
                  <c:v>73301.759999999995</c:v>
                </c:pt>
                <c:pt idx="1">
                  <c:v>44590.479999999996</c:v>
                </c:pt>
                <c:pt idx="2">
                  <c:v>89909.330000000016</c:v>
                </c:pt>
                <c:pt idx="3">
                  <c:v>106793.02000000002</c:v>
                </c:pt>
                <c:pt idx="4">
                  <c:v>92852.260000000024</c:v>
                </c:pt>
                <c:pt idx="5">
                  <c:v>60223.350000000006</c:v>
                </c:pt>
                <c:pt idx="6">
                  <c:v>118235.32000000002</c:v>
                </c:pt>
                <c:pt idx="7">
                  <c:v>77828.94</c:v>
                </c:pt>
                <c:pt idx="8">
                  <c:v>62443.520000000019</c:v>
                </c:pt>
                <c:pt idx="9">
                  <c:v>65342.99</c:v>
                </c:pt>
                <c:pt idx="10">
                  <c:v>85137.5</c:v>
                </c:pt>
                <c:pt idx="11">
                  <c:v>58362.16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A-4170-B32B-3715E9C4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5927"/>
        <c:axId val="9747975"/>
      </c:lineChart>
      <c:catAx>
        <c:axId val="9745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975"/>
        <c:crosses val="autoZero"/>
        <c:auto val="1"/>
        <c:lblAlgn val="ctr"/>
        <c:lblOffset val="100"/>
        <c:noMultiLvlLbl val="0"/>
      </c:catAx>
      <c:valAx>
        <c:axId val="9747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F476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Cookie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F476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BE2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E2D5"/>
            </a:solidFill>
            <a:ln>
              <a:noFill/>
            </a:ln>
            <a:effectLst/>
          </c:spPr>
          <c:invertIfNegative val="0"/>
          <c:cat>
            <c:strRef>
              <c:f>Analysis!$A$4:$A$7</c:f>
              <c:strCache>
                <c:ptCount val="3"/>
                <c:pt idx="0">
                  <c:v>Butter Cookie</c:v>
                </c:pt>
                <c:pt idx="1">
                  <c:v>Chocolate Chip</c:v>
                </c:pt>
                <c:pt idx="2">
                  <c:v>Double Choco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98981.669999999955</c:v>
                </c:pt>
                <c:pt idx="1">
                  <c:v>92927.650000000009</c:v>
                </c:pt>
                <c:pt idx="2">
                  <c:v>86690.819999999992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B-44D1-AB33-9A4C0ADC1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1837928967"/>
        <c:axId val="1837931015"/>
      </c:barChart>
      <c:catAx>
        <c:axId val="1837928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31015"/>
        <c:crosses val="autoZero"/>
        <c:auto val="1"/>
        <c:lblAlgn val="ctr"/>
        <c:lblOffset val="100"/>
        <c:noMultiLvlLbl val="0"/>
      </c:catAx>
      <c:valAx>
        <c:axId val="1837931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F476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28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EA7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Cookie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EA7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Analysis!$K$4:$K$7</c:f>
              <c:strCache>
                <c:ptCount val="3"/>
                <c:pt idx="0">
                  <c:v>Butter Cookie</c:v>
                </c:pt>
                <c:pt idx="1">
                  <c:v>Chocolate Chip</c:v>
                </c:pt>
                <c:pt idx="2">
                  <c:v>Double Choco</c:v>
                </c:pt>
              </c:strCache>
            </c:strRef>
          </c:cat>
          <c:val>
            <c:numRef>
              <c:f>Analysis!$L$4:$L$7</c:f>
              <c:numCache>
                <c:formatCode>General</c:formatCode>
                <c:ptCount val="3"/>
                <c:pt idx="0">
                  <c:v>341619.60999999975</c:v>
                </c:pt>
                <c:pt idx="1">
                  <c:v>302925.65999999986</c:v>
                </c:pt>
                <c:pt idx="2">
                  <c:v>290475.35999999993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F-4BC8-99B7-69DDA3C89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554120"/>
        <c:axId val="1898841096"/>
      </c:barChart>
      <c:catAx>
        <c:axId val="177455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A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41096"/>
        <c:crosses val="autoZero"/>
        <c:auto val="1"/>
        <c:lblAlgn val="ctr"/>
        <c:lblOffset val="100"/>
        <c:noMultiLvlLbl val="0"/>
      </c:catAx>
      <c:valAx>
        <c:axId val="189884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A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5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E350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81-47D0-8F17-39997D6CD5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81-47D0-8F17-39997D6CD5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81-47D0-8F17-39997D6CD5A2}"/>
              </c:ext>
            </c:extLst>
          </c:dPt>
          <c:cat>
            <c:strRef>
              <c:f>Analysis!$S$4:$S$6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Analysis!$T$4:$T$6</c:f>
              <c:numCache>
                <c:formatCode>General</c:formatCode>
                <c:ptCount val="2"/>
                <c:pt idx="0">
                  <c:v>134409.11000000004</c:v>
                </c:pt>
                <c:pt idx="1">
                  <c:v>144191.02999999997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81-47D0-8F17-39997D6CD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E350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[1]Sheet3!$P$3</c:f>
              <c:strCache>
                <c:ptCount val="1"/>
              </c:strCache>
            </c:strRef>
          </c:tx>
          <c:spPr>
            <a:solidFill>
              <a:srgbClr val="E49EDD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6"/>
              <c:pt idx="0">
                <c:v>Ahmedabad</c:v>
              </c:pt>
              <c:pt idx="1">
                <c:v>Bengaluru</c:v>
              </c:pt>
              <c:pt idx="2">
                <c:v>Delhi</c:v>
              </c:pt>
              <c:pt idx="3">
                <c:v>Jaipur</c:v>
              </c:pt>
              <c:pt idx="4">
                <c:v>Mumbai</c:v>
              </c:pt>
              <c:pt idx="5">
                <c:v>Pune</c:v>
              </c:pt>
            </c:strLit>
          </c:cat>
          <c:val>
            <c:numLit>
              <c:formatCode>General</c:formatCode>
              <c:ptCount val="6"/>
              <c:pt idx="0">
                <c:v>1321356.2000000002</c:v>
              </c:pt>
              <c:pt idx="1">
                <c:v>1267211.4100000001</c:v>
              </c:pt>
              <c:pt idx="2">
                <c:v>1374496.2599999998</c:v>
              </c:pt>
              <c:pt idx="3">
                <c:v>1357825.8399999992</c:v>
              </c:pt>
              <c:pt idx="4">
                <c:v>1256653.1800000002</c:v>
              </c:pt>
              <c:pt idx="5">
                <c:v>1247935.6400000006</c:v>
              </c:pt>
            </c:numLit>
          </c:val>
          <c:extLst>
            <c:ext xmlns:c16="http://schemas.microsoft.com/office/drawing/2014/chart" uri="{C3380CC4-5D6E-409C-BE32-E72D297353CC}">
              <c16:uniqueId val="{00000000-574D-400C-BC07-A4543B815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7735"/>
        <c:axId val="4299783"/>
      </c:barChart>
      <c:valAx>
        <c:axId val="4299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735"/>
        <c:crosses val="autoZero"/>
        <c:crossBetween val="between"/>
      </c:valAx>
      <c:catAx>
        <c:axId val="4297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SALE.xlsx]Analysis!PivotTable20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82E39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Analysis!$K$14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2E39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Analysis!$J$15:$J$27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Analysis!$K$15:$K$27</c:f>
              <c:numCache>
                <c:formatCode>General</c:formatCode>
                <c:ptCount val="12"/>
                <c:pt idx="0">
                  <c:v>73301.759999999995</c:v>
                </c:pt>
                <c:pt idx="1">
                  <c:v>44590.479999999996</c:v>
                </c:pt>
                <c:pt idx="2">
                  <c:v>89909.330000000016</c:v>
                </c:pt>
                <c:pt idx="3">
                  <c:v>106793.02000000002</c:v>
                </c:pt>
                <c:pt idx="4">
                  <c:v>92852.260000000024</c:v>
                </c:pt>
                <c:pt idx="5">
                  <c:v>60223.350000000006</c:v>
                </c:pt>
                <c:pt idx="6">
                  <c:v>118235.32000000002</c:v>
                </c:pt>
                <c:pt idx="7">
                  <c:v>77828.94</c:v>
                </c:pt>
                <c:pt idx="8">
                  <c:v>62443.520000000019</c:v>
                </c:pt>
                <c:pt idx="9">
                  <c:v>65342.99</c:v>
                </c:pt>
                <c:pt idx="10">
                  <c:v>85137.5</c:v>
                </c:pt>
                <c:pt idx="11">
                  <c:v>58362.16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6-4F9F-86EA-99BE653CB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5927"/>
        <c:axId val="9747975"/>
      </c:lineChart>
      <c:catAx>
        <c:axId val="9745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975"/>
        <c:crosses val="autoZero"/>
        <c:auto val="1"/>
        <c:lblAlgn val="ctr"/>
        <c:lblOffset val="100"/>
        <c:noMultiLvlLbl val="0"/>
      </c:catAx>
      <c:valAx>
        <c:axId val="9747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133350</xdr:rowOff>
    </xdr:from>
    <xdr:to>
      <xdr:col>7</xdr:col>
      <xdr:colOff>590550</xdr:colOff>
      <xdr:row>12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773D8-A1BD-C155-E40C-D1B9956E8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142875</xdr:colOff>
      <xdr:row>0</xdr:row>
      <xdr:rowOff>142875</xdr:rowOff>
    </xdr:from>
    <xdr:to>
      <xdr:col>16</xdr:col>
      <xdr:colOff>95250</xdr:colOff>
      <xdr:row>12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A1B9D-A07C-AB86-19DB-272D244C611A}"/>
            </a:ext>
            <a:ext uri="{147F2762-F138-4A5C-976F-8EAC2B608ADB}">
              <a16:predDERef xmlns:a16="http://schemas.microsoft.com/office/drawing/2014/main" pred="{E0B773D8-A1BD-C155-E40C-D1B9956E8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13</xdr:row>
      <xdr:rowOff>9525</xdr:rowOff>
    </xdr:from>
    <xdr:to>
      <xdr:col>7</xdr:col>
      <xdr:colOff>409575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6889A9-712C-5C53-92D7-41CCCB78B921}"/>
            </a:ext>
            <a:ext uri="{147F2762-F138-4A5C-976F-8EAC2B608ADB}">
              <a16:predDERef xmlns:a16="http://schemas.microsoft.com/office/drawing/2014/main" pred="{993A1B9D-A07C-AB86-19DB-272D244C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123825</xdr:colOff>
      <xdr:row>0</xdr:row>
      <xdr:rowOff>85725</xdr:rowOff>
    </xdr:from>
    <xdr:to>
      <xdr:col>25</xdr:col>
      <xdr:colOff>85725</xdr:colOff>
      <xdr:row>11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F0F017-A809-E785-7D6A-964251DD37F2}"/>
            </a:ext>
            <a:ext uri="{147F2762-F138-4A5C-976F-8EAC2B608ADB}">
              <a16:predDERef xmlns:a16="http://schemas.microsoft.com/office/drawing/2014/main" pred="{286889A9-712C-5C53-92D7-41CCCB78B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752475</xdr:colOff>
      <xdr:row>13</xdr:row>
      <xdr:rowOff>57150</xdr:rowOff>
    </xdr:from>
    <xdr:to>
      <xdr:col>16</xdr:col>
      <xdr:colOff>200025</xdr:colOff>
      <xdr:row>25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C2BDBB-EF48-F104-3A34-46A6741E58CB}"/>
            </a:ext>
            <a:ext uri="{147F2762-F138-4A5C-976F-8EAC2B608ADB}">
              <a16:predDERef xmlns:a16="http://schemas.microsoft.com/office/drawing/2014/main" pred="{11F0F017-A809-E785-7D6A-964251DD3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95250</xdr:colOff>
      <xdr:row>11</xdr:row>
      <xdr:rowOff>114300</xdr:rowOff>
    </xdr:from>
    <xdr:to>
      <xdr:col>28</xdr:col>
      <xdr:colOff>95250</xdr:colOff>
      <xdr:row>23</xdr:row>
      <xdr:rowOff>466725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ity">
              <a:extLst>
                <a:ext uri="{FF2B5EF4-FFF2-40B4-BE49-F238E27FC236}">
                  <a16:creationId xmlns:a16="http://schemas.microsoft.com/office/drawing/2014/main" id="{A8CA7981-5E61-B16C-E555-9176399F71DD}"/>
                </a:ext>
                <a:ext uri="{147F2762-F138-4A5C-976F-8EAC2B608ADB}">
                  <a16:predDERef xmlns:a16="http://schemas.microsoft.com/office/drawing/2014/main" pred="{4DC2BDBB-EF48-F104-3A34-46A6741E58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00" y="2209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17</xdr:col>
      <xdr:colOff>219075</xdr:colOff>
      <xdr:row>10</xdr:row>
      <xdr:rowOff>180975</xdr:rowOff>
    </xdr:from>
    <xdr:to>
      <xdr:col>19</xdr:col>
      <xdr:colOff>428625</xdr:colOff>
      <xdr:row>17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hannel">
              <a:extLst>
                <a:ext uri="{FF2B5EF4-FFF2-40B4-BE49-F238E27FC236}">
                  <a16:creationId xmlns:a16="http://schemas.microsoft.com/office/drawing/2014/main" id="{3DE65FCF-DAD8-A312-70FE-E3C923601B64}"/>
                </a:ext>
                <a:ext uri="{147F2762-F138-4A5C-976F-8EAC2B608ADB}">
                  <a16:predDERef xmlns:a16="http://schemas.microsoft.com/office/drawing/2014/main" pred="{A8CA7981-5E61-B16C-E555-9176399F71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0075" y="2085975"/>
              <a:ext cx="158115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  <xdr:twoCellAnchor editAs="oneCell">
    <xdr:from>
      <xdr:col>21</xdr:col>
      <xdr:colOff>133350</xdr:colOff>
      <xdr:row>11</xdr:row>
      <xdr:rowOff>28575</xdr:rowOff>
    </xdr:from>
    <xdr:to>
      <xdr:col>24</xdr:col>
      <xdr:colOff>133350</xdr:colOff>
      <xdr:row>23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ookie_Type">
              <a:extLst>
                <a:ext uri="{FF2B5EF4-FFF2-40B4-BE49-F238E27FC236}">
                  <a16:creationId xmlns:a16="http://schemas.microsoft.com/office/drawing/2014/main" id="{056D1D73-A99F-F072-2DF3-F34A352B57DF}"/>
                </a:ext>
                <a:ext uri="{147F2762-F138-4A5C-976F-8EAC2B608ADB}">
                  <a16:predDERef xmlns:a16="http://schemas.microsoft.com/office/drawing/2014/main" pred="{3DE65FCF-DAD8-A312-70FE-E3C923601B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oki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44700" y="2124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76200</xdr:rowOff>
    </xdr:from>
    <xdr:to>
      <xdr:col>5</xdr:col>
      <xdr:colOff>9525</xdr:colOff>
      <xdr:row>17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E88F21-4BE7-4CAA-9877-480A658F1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20</xdr:row>
      <xdr:rowOff>142875</xdr:rowOff>
    </xdr:from>
    <xdr:to>
      <xdr:col>4</xdr:col>
      <xdr:colOff>581025</xdr:colOff>
      <xdr:row>32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31FBCB-9407-4AB5-B139-D5F7ED7437E0}"/>
            </a:ext>
            <a:ext uri="{147F2762-F138-4A5C-976F-8EAC2B608ADB}">
              <a16:predDERef xmlns:a16="http://schemas.microsoft.com/office/drawing/2014/main" pred="{F9E88F21-4BE7-4CAA-9877-480A658F1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600075</xdr:colOff>
      <xdr:row>14</xdr:row>
      <xdr:rowOff>38100</xdr:rowOff>
    </xdr:from>
    <xdr:to>
      <xdr:col>9</xdr:col>
      <xdr:colOff>561975</xdr:colOff>
      <xdr:row>24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D97691-5E62-4AAE-9399-9BDA6793499F}"/>
            </a:ext>
            <a:ext uri="{147F2762-F138-4A5C-976F-8EAC2B608ADB}">
              <a16:predDERef xmlns:a16="http://schemas.microsoft.com/office/drawing/2014/main" pred="{9D31FBCB-9407-4AB5-B139-D5F7ED743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533400</xdr:colOff>
      <xdr:row>21</xdr:row>
      <xdr:rowOff>152400</xdr:rowOff>
    </xdr:from>
    <xdr:to>
      <xdr:col>14</xdr:col>
      <xdr:colOff>561975</xdr:colOff>
      <xdr:row>32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BCCEE9-D246-4DB6-A0BC-BF59C8F5DDAD}"/>
            </a:ext>
            <a:ext uri="{147F2762-F138-4A5C-976F-8EAC2B608ADB}">
              <a16:predDERef xmlns:a16="http://schemas.microsoft.com/office/drawing/2014/main" pred="{F9D97691-5E62-4AAE-9399-9BDA67934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0</xdr:row>
      <xdr:rowOff>381000</xdr:rowOff>
    </xdr:from>
    <xdr:to>
      <xdr:col>2</xdr:col>
      <xdr:colOff>523875</xdr:colOff>
      <xdr:row>2</xdr:row>
      <xdr:rowOff>161925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9A8F97C7-9ACA-77E9-9A88-6F1322788D87}"/>
            </a:ext>
            <a:ext uri="{147F2762-F138-4A5C-976F-8EAC2B608ADB}">
              <a16:predDERef xmlns:a16="http://schemas.microsoft.com/office/drawing/2014/main" pred="{DFBCCEE9-D246-4DB6-A0BC-BF59C8F5DDAD}"/>
            </a:ext>
          </a:extLst>
        </xdr:cNvPr>
        <xdr:cNvSpPr/>
      </xdr:nvSpPr>
      <xdr:spPr>
        <a:xfrm>
          <a:off x="180975" y="381000"/>
          <a:ext cx="1562100" cy="37147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      TOTAL SALES</a:t>
          </a:r>
        </a:p>
      </xdr:txBody>
    </xdr:sp>
    <xdr:clientData/>
  </xdr:twoCellAnchor>
  <xdr:twoCellAnchor>
    <xdr:from>
      <xdr:col>4</xdr:col>
      <xdr:colOff>180975</xdr:colOff>
      <xdr:row>1</xdr:row>
      <xdr:rowOff>9525</xdr:rowOff>
    </xdr:from>
    <xdr:to>
      <xdr:col>6</xdr:col>
      <xdr:colOff>523875</xdr:colOff>
      <xdr:row>3</xdr:row>
      <xdr:rowOff>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91445832-B24B-408C-8162-8ECD4CD813A7}"/>
            </a:ext>
            <a:ext uri="{147F2762-F138-4A5C-976F-8EAC2B608ADB}">
              <a16:predDERef xmlns:a16="http://schemas.microsoft.com/office/drawing/2014/main" pred="{9A8F97C7-9ACA-77E9-9A88-6F1322788D87}"/>
            </a:ext>
          </a:extLst>
        </xdr:cNvPr>
        <xdr:cNvSpPr/>
      </xdr:nvSpPr>
      <xdr:spPr>
        <a:xfrm>
          <a:off x="2619375" y="409575"/>
          <a:ext cx="1562100" cy="37147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      TOTAL PROFIT</a:t>
          </a:r>
        </a:p>
      </xdr:txBody>
    </xdr:sp>
    <xdr:clientData/>
  </xdr:twoCellAnchor>
  <xdr:twoCellAnchor>
    <xdr:from>
      <xdr:col>8</xdr:col>
      <xdr:colOff>142875</xdr:colOff>
      <xdr:row>1</xdr:row>
      <xdr:rowOff>28575</xdr:rowOff>
    </xdr:from>
    <xdr:to>
      <xdr:col>10</xdr:col>
      <xdr:colOff>485775</xdr:colOff>
      <xdr:row>3</xdr:row>
      <xdr:rowOff>19050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F585077D-03AA-48AE-B9A9-DF6C8CA90C1E}"/>
            </a:ext>
            <a:ext uri="{147F2762-F138-4A5C-976F-8EAC2B608ADB}">
              <a16:predDERef xmlns:a16="http://schemas.microsoft.com/office/drawing/2014/main" pred="{91445832-B24B-408C-8162-8ECD4CD813A7}"/>
            </a:ext>
          </a:extLst>
        </xdr:cNvPr>
        <xdr:cNvSpPr/>
      </xdr:nvSpPr>
      <xdr:spPr>
        <a:xfrm>
          <a:off x="5019675" y="428625"/>
          <a:ext cx="1562100" cy="37147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      TOTAL ORDER</a:t>
          </a:r>
        </a:p>
      </xdr:txBody>
    </xdr:sp>
    <xdr:clientData/>
  </xdr:twoCellAnchor>
  <xdr:twoCellAnchor>
    <xdr:from>
      <xdr:col>12</xdr:col>
      <xdr:colOff>161925</xdr:colOff>
      <xdr:row>1</xdr:row>
      <xdr:rowOff>0</xdr:rowOff>
    </xdr:from>
    <xdr:to>
      <xdr:col>14</xdr:col>
      <xdr:colOff>504825</xdr:colOff>
      <xdr:row>2</xdr:row>
      <xdr:rowOff>180975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7C086A1E-BF5E-43BD-9E11-201B53060C4A}"/>
            </a:ext>
            <a:ext uri="{147F2762-F138-4A5C-976F-8EAC2B608ADB}">
              <a16:predDERef xmlns:a16="http://schemas.microsoft.com/office/drawing/2014/main" pred="{F585077D-03AA-48AE-B9A9-DF6C8CA90C1E}"/>
            </a:ext>
          </a:extLst>
        </xdr:cNvPr>
        <xdr:cNvSpPr/>
      </xdr:nvSpPr>
      <xdr:spPr>
        <a:xfrm>
          <a:off x="7477125" y="400050"/>
          <a:ext cx="1562100" cy="37147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      TOTAL QUANTITY</a:t>
          </a:r>
        </a:p>
      </xdr:txBody>
    </xdr:sp>
    <xdr:clientData/>
  </xdr:twoCellAnchor>
  <xdr:twoCellAnchor>
    <xdr:from>
      <xdr:col>9</xdr:col>
      <xdr:colOff>504825</xdr:colOff>
      <xdr:row>6</xdr:row>
      <xdr:rowOff>38100</xdr:rowOff>
    </xdr:from>
    <xdr:to>
      <xdr:col>14</xdr:col>
      <xdr:colOff>485775</xdr:colOff>
      <xdr:row>17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9AF6991-CCFB-4D89-88E6-B2B9F5A6C69D}"/>
            </a:ext>
            <a:ext uri="{147F2762-F138-4A5C-976F-8EAC2B608ADB}">
              <a16:predDERef xmlns:a16="http://schemas.microsoft.com/office/drawing/2014/main" pred="{7C086A1E-BF5E-43BD-9E11-201B53060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123825</xdr:colOff>
      <xdr:row>1</xdr:row>
      <xdr:rowOff>9525</xdr:rowOff>
    </xdr:from>
    <xdr:to>
      <xdr:col>24</xdr:col>
      <xdr:colOff>600075</xdr:colOff>
      <xdr:row>35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62135F1-BB23-8FC4-5AEB-729D5F5C54AC}"/>
            </a:ext>
            <a:ext uri="{147F2762-F138-4A5C-976F-8EAC2B608ADB}">
              <a16:predDERef xmlns:a16="http://schemas.microsoft.com/office/drawing/2014/main" pred="{19AF6991-CCFB-4D89-88E6-B2B9F5A6C69D}"/>
            </a:ext>
          </a:extLst>
        </xdr:cNvPr>
        <xdr:cNvSpPr/>
      </xdr:nvSpPr>
      <xdr:spPr>
        <a:xfrm>
          <a:off x="9267825" y="409575"/>
          <a:ext cx="5962650" cy="6638925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15</xdr:col>
      <xdr:colOff>390525</xdr:colOff>
      <xdr:row>2</xdr:row>
      <xdr:rowOff>0</xdr:rowOff>
    </xdr:from>
    <xdr:to>
      <xdr:col>18</xdr:col>
      <xdr:colOff>276225</xdr:colOff>
      <xdr:row>5</xdr:row>
      <xdr:rowOff>123825</xdr:rowOff>
    </xdr:to>
    <xdr:sp macro="" textlink="">
      <xdr:nvSpPr>
        <xdr:cNvPr id="18" name="TextBox 17" descr="Sugar Cookie" title="TOP COOKIE: ">
          <a:extLst>
            <a:ext uri="{FF2B5EF4-FFF2-40B4-BE49-F238E27FC236}">
              <a16:creationId xmlns:a16="http://schemas.microsoft.com/office/drawing/2014/main" id="{7AFD9C29-A0D9-DC6C-8FC8-6580B6FE2276}"/>
            </a:ext>
            <a:ext uri="{147F2762-F138-4A5C-976F-8EAC2B608ADB}">
              <a16:predDERef xmlns:a16="http://schemas.microsoft.com/office/drawing/2014/main" pred="{162135F1-BB23-8FC4-5AEB-729D5F5C54AC}"/>
            </a:ext>
          </a:extLst>
        </xdr:cNvPr>
        <xdr:cNvSpPr txBox="1"/>
      </xdr:nvSpPr>
      <xdr:spPr>
        <a:xfrm>
          <a:off x="9534525" y="590550"/>
          <a:ext cx="1714500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TOP COOKIE: </a:t>
          </a:r>
          <a:r>
            <a:rPr lang="en-US" sz="1800" b="0">
              <a:solidFill>
                <a:schemeClr val="tx1"/>
              </a:solidFill>
              <a:latin typeface="+mn-lt"/>
              <a:ea typeface="+mn-lt"/>
              <a:cs typeface="+mn-lt"/>
            </a:rPr>
            <a:t>Sugar Cookie</a:t>
          </a:r>
        </a:p>
      </xdr:txBody>
    </xdr:sp>
    <xdr:clientData/>
  </xdr:twoCellAnchor>
  <xdr:twoCellAnchor>
    <xdr:from>
      <xdr:col>18</xdr:col>
      <xdr:colOff>447675</xdr:colOff>
      <xdr:row>1</xdr:row>
      <xdr:rowOff>142875</xdr:rowOff>
    </xdr:from>
    <xdr:to>
      <xdr:col>21</xdr:col>
      <xdr:colOff>333375</xdr:colOff>
      <xdr:row>5</xdr:row>
      <xdr:rowOff>76200</xdr:rowOff>
    </xdr:to>
    <xdr:sp macro="" textlink="">
      <xdr:nvSpPr>
        <xdr:cNvPr id="19" name="TextBox 18" descr="Sugar Cookie" title="TOP COOKIE: ">
          <a:extLst>
            <a:ext uri="{FF2B5EF4-FFF2-40B4-BE49-F238E27FC236}">
              <a16:creationId xmlns:a16="http://schemas.microsoft.com/office/drawing/2014/main" id="{E9EEF396-D676-42ED-AC8D-4D0AB7F6F4A1}"/>
            </a:ext>
            <a:ext uri="{147F2762-F138-4A5C-976F-8EAC2B608ADB}">
              <a16:predDERef xmlns:a16="http://schemas.microsoft.com/office/drawing/2014/main" pred="{7AFD9C29-A0D9-DC6C-8FC8-6580B6FE2276}"/>
            </a:ext>
          </a:extLst>
        </xdr:cNvPr>
        <xdr:cNvSpPr txBox="1"/>
      </xdr:nvSpPr>
      <xdr:spPr>
        <a:xfrm>
          <a:off x="11420475" y="542925"/>
          <a:ext cx="1714500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tx1"/>
              </a:solidFill>
              <a:latin typeface="+mn-lt"/>
              <a:ea typeface="+mn-lt"/>
              <a:cs typeface="+mn-lt"/>
            </a:rPr>
            <a:t>TOP CITY: </a:t>
          </a:r>
          <a:endParaRPr lang="en-US" sz="20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000">
              <a:solidFill>
                <a:schemeClr val="tx1"/>
              </a:solidFill>
              <a:latin typeface="+mn-lt"/>
              <a:ea typeface="+mn-lt"/>
              <a:cs typeface="+mn-lt"/>
            </a:rPr>
            <a:t>Jaipur</a:t>
          </a:r>
        </a:p>
      </xdr:txBody>
    </xdr:sp>
    <xdr:clientData/>
  </xdr:twoCellAnchor>
  <xdr:twoCellAnchor>
    <xdr:from>
      <xdr:col>21</xdr:col>
      <xdr:colOff>533400</xdr:colOff>
      <xdr:row>1</xdr:row>
      <xdr:rowOff>142875</xdr:rowOff>
    </xdr:from>
    <xdr:to>
      <xdr:col>24</xdr:col>
      <xdr:colOff>419100</xdr:colOff>
      <xdr:row>5</xdr:row>
      <xdr:rowOff>76200</xdr:rowOff>
    </xdr:to>
    <xdr:sp macro="" textlink="">
      <xdr:nvSpPr>
        <xdr:cNvPr id="20" name="TextBox 19" descr="Sugar Cookie" title="TOP COOKIE: ">
          <a:extLst>
            <a:ext uri="{FF2B5EF4-FFF2-40B4-BE49-F238E27FC236}">
              <a16:creationId xmlns:a16="http://schemas.microsoft.com/office/drawing/2014/main" id="{95406F3D-F104-407E-96AB-E041312CA474}"/>
            </a:ext>
            <a:ext uri="{147F2762-F138-4A5C-976F-8EAC2B608ADB}">
              <a16:predDERef xmlns:a16="http://schemas.microsoft.com/office/drawing/2014/main" pred="{E9EEF396-D676-42ED-AC8D-4D0AB7F6F4A1}"/>
            </a:ext>
          </a:extLst>
        </xdr:cNvPr>
        <xdr:cNvSpPr txBox="1"/>
      </xdr:nvSpPr>
      <xdr:spPr>
        <a:xfrm>
          <a:off x="13335000" y="542925"/>
          <a:ext cx="1714500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TOP CHANNEL</a:t>
          </a:r>
          <a:r>
            <a:rPr lang="en-US" sz="1800">
              <a:solidFill>
                <a:schemeClr val="tx1"/>
              </a:solidFill>
              <a:latin typeface="+mn-lt"/>
              <a:ea typeface="+mn-lt"/>
              <a:cs typeface="+mn-lt"/>
            </a:rPr>
            <a:t>: Wholesale</a:t>
          </a:r>
        </a:p>
        <a:p>
          <a:pPr marL="0" indent="0" algn="l"/>
          <a:endParaRPr lang="en-US" sz="16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164</xdr:col>
      <xdr:colOff>314325</xdr:colOff>
      <xdr:row>0</xdr:row>
      <xdr:rowOff>0</xdr:rowOff>
    </xdr:from>
    <xdr:to>
      <xdr:col>167</xdr:col>
      <xdr:colOff>314325</xdr:colOff>
      <xdr:row>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hannel 1">
              <a:extLst>
                <a:ext uri="{FF2B5EF4-FFF2-40B4-BE49-F238E27FC236}">
                  <a16:creationId xmlns:a16="http://schemas.microsoft.com/office/drawing/2014/main" id="{F91084F0-F5EC-2A8B-0AE3-6529D6F97D36}"/>
                </a:ext>
                <a:ext uri="{147F2762-F138-4A5C-976F-8EAC2B608ADB}">
                  <a16:predDERef xmlns:a16="http://schemas.microsoft.com/office/drawing/2014/main" pred="{95406F3D-F104-407E-96AB-E041312CA4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07850" y="0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533400</xdr:colOff>
      <xdr:row>8</xdr:row>
      <xdr:rowOff>38100</xdr:rowOff>
    </xdr:from>
    <xdr:to>
      <xdr:col>18</xdr:col>
      <xdr:colOff>533400</xdr:colOff>
      <xdr:row>22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City 1">
              <a:extLst>
                <a:ext uri="{FF2B5EF4-FFF2-40B4-BE49-F238E27FC236}">
                  <a16:creationId xmlns:a16="http://schemas.microsoft.com/office/drawing/2014/main" id="{F6A05F48-D2E5-1772-C3E1-9A7F1A4E0F93}"/>
                </a:ext>
                <a:ext uri="{147F2762-F138-4A5C-976F-8EAC2B608ADB}">
                  <a16:predDERef xmlns:a16="http://schemas.microsoft.com/office/drawing/2014/main" pred="{F91084F0-F5EC-2A8B-0AE3-6529D6F97D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7400" y="1771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-9525</xdr:colOff>
      <xdr:row>214</xdr:row>
      <xdr:rowOff>171450</xdr:rowOff>
    </xdr:from>
    <xdr:to>
      <xdr:col>2</xdr:col>
      <xdr:colOff>600075</xdr:colOff>
      <xdr:row>228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Channel 2">
              <a:extLst>
                <a:ext uri="{FF2B5EF4-FFF2-40B4-BE49-F238E27FC236}">
                  <a16:creationId xmlns:a16="http://schemas.microsoft.com/office/drawing/2014/main" id="{D360F75F-D74E-0351-AC62-E215E317992A}"/>
                </a:ext>
                <a:ext uri="{147F2762-F138-4A5C-976F-8EAC2B608ADB}">
                  <a16:predDERef xmlns:a16="http://schemas.microsoft.com/office/drawing/2014/main" pred="{F6A05F48-D2E5-1772-C3E1-9A7F1A4E0F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-9525" y="41148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19</xdr:col>
      <xdr:colOff>333375</xdr:colOff>
      <xdr:row>8</xdr:row>
      <xdr:rowOff>66675</xdr:rowOff>
    </xdr:from>
    <xdr:to>
      <xdr:col>22</xdr:col>
      <xdr:colOff>523875</xdr:colOff>
      <xdr:row>21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Channel 3">
              <a:extLst>
                <a:ext uri="{FF2B5EF4-FFF2-40B4-BE49-F238E27FC236}">
                  <a16:creationId xmlns:a16="http://schemas.microsoft.com/office/drawing/2014/main" id="{0362B1BA-72E4-D413-190B-4484DCAD9219}"/>
                </a:ext>
                <a:ext uri="{147F2762-F138-4A5C-976F-8EAC2B608ADB}">
                  <a16:predDERef xmlns:a16="http://schemas.microsoft.com/office/drawing/2014/main" pred="{D360F75F-D74E-0351-AC62-E215E31799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5775" y="1800225"/>
              <a:ext cx="20193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447675</xdr:colOff>
      <xdr:row>24</xdr:row>
      <xdr:rowOff>85725</xdr:rowOff>
    </xdr:from>
    <xdr:to>
      <xdr:col>23</xdr:col>
      <xdr:colOff>85725</xdr:colOff>
      <xdr:row>34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Cookie_Type 1">
              <a:extLst>
                <a:ext uri="{FF2B5EF4-FFF2-40B4-BE49-F238E27FC236}">
                  <a16:creationId xmlns:a16="http://schemas.microsoft.com/office/drawing/2014/main" id="{7DA0AE89-F027-C0BF-CC68-34A4D27642E5}"/>
                </a:ext>
                <a:ext uri="{147F2762-F138-4A5C-976F-8EAC2B608ADB}">
                  <a16:predDERef xmlns:a16="http://schemas.microsoft.com/office/drawing/2014/main" pred="{0362B1BA-72E4-D413-190B-4484DCAD92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okie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5" y="4867275"/>
              <a:ext cx="451485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675801851852" createdVersion="8" refreshedVersion="8" minRefreshableVersion="3" recordCount="2000" xr:uid="{9748A3C9-33E6-4F1C-A24A-EFED07638025}">
  <cacheSource type="worksheet">
    <worksheetSource name="Table13"/>
  </cacheSource>
  <cacheFields count="11">
    <cacheField name="Order_No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City" numFmtId="0">
      <sharedItems count="6">
        <s v="Bengaluru"/>
        <s v="Jaipur"/>
        <s v="Delhi"/>
        <s v="Pune"/>
        <s v="Mumbai"/>
        <s v="Ahmedabad"/>
      </sharedItems>
    </cacheField>
    <cacheField name="Channel" numFmtId="0">
      <sharedItems count="3">
        <s v="Retail"/>
        <s v="Online"/>
        <s v="Wholesale"/>
      </sharedItems>
    </cacheField>
    <cacheField name="Cookie_Type" numFmtId="0">
      <sharedItems count="6">
        <s v="Butter Cookie"/>
        <s v="Sugar Cookie"/>
        <s v="Oatmeal Raisin"/>
        <s v="Peanut Butter"/>
        <s v="Chocolate Chip"/>
        <s v="Double Choco"/>
      </sharedItems>
    </cacheField>
    <cacheField name="Quantity" numFmtId="0">
      <sharedItems containsSemiMixedTypes="0" containsString="0" containsNumber="1" containsInteger="1" minValue="10" maxValue="300"/>
    </cacheField>
    <cacheField name="Unit_Price" numFmtId="0">
      <sharedItems containsSemiMixedTypes="0" containsString="0" containsNumber="1" minValue="10.02" maxValue="39.99"/>
    </cacheField>
    <cacheField name="Sales" numFmtId="0">
      <sharedItems containsSemiMixedTypes="0" containsString="0" containsNumber="1" minValue="103.1" maxValue="11776.05"/>
    </cacheField>
    <cacheField name="Cost" numFmtId="0">
      <sharedItems containsSemiMixedTypes="0" containsString="0" containsNumber="1" minValue="68.08" maxValue="8433.75"/>
    </cacheField>
    <cacheField name="Profit" numFmtId="0">
      <sharedItems containsSemiMixedTypes="0" containsString="0" containsNumber="1" minValue="34.79" maxValue="4698.16"/>
    </cacheField>
    <cacheField name="Month" numFmtId="49">
      <sharedItems count="12">
        <s v="Jun"/>
        <s v="Oct"/>
        <s v="Feb"/>
        <s v="Nov"/>
        <s v="Mar"/>
        <s v="Dec"/>
        <s v="Aug"/>
        <s v="Apr"/>
        <s v="Jul"/>
        <s v="Sep"/>
        <s v="Jan"/>
        <s v="May"/>
      </sharedItems>
    </cacheField>
  </cacheFields>
  <extLst>
    <ext xmlns:x14="http://schemas.microsoft.com/office/spreadsheetml/2009/9/main" uri="{725AE2AE-9491-48be-B2B4-4EB974FC3084}">
      <x14:pivotCacheDefinition pivotCacheId="1851903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00001"/>
    <d v="2025-06-15T00:00:00"/>
    <x v="0"/>
    <x v="0"/>
    <x v="0"/>
    <n v="87"/>
    <n v="21.84"/>
    <n v="1900.08"/>
    <n v="1158.4000000000001"/>
    <n v="741.68"/>
    <x v="0"/>
  </r>
  <r>
    <s v="ORD00002"/>
    <d v="2025-10-26T00:00:00"/>
    <x v="1"/>
    <x v="1"/>
    <x v="1"/>
    <n v="39"/>
    <n v="37.29"/>
    <n v="1454.31"/>
    <n v="935.03"/>
    <n v="519.28"/>
    <x v="1"/>
  </r>
  <r>
    <s v="ORD00003"/>
    <d v="2025-02-05T00:00:00"/>
    <x v="0"/>
    <x v="0"/>
    <x v="2"/>
    <n v="133"/>
    <n v="12.72"/>
    <n v="1691.76"/>
    <n v="1158.69"/>
    <n v="533.07000000000005"/>
    <x v="2"/>
  </r>
  <r>
    <s v="ORD00004"/>
    <d v="2025-11-19T00:00:00"/>
    <x v="2"/>
    <x v="0"/>
    <x v="3"/>
    <n v="41"/>
    <n v="27.31"/>
    <n v="1119.71"/>
    <n v="760.66"/>
    <n v="359.05"/>
    <x v="3"/>
  </r>
  <r>
    <s v="ORD00005"/>
    <d v="2025-03-10T00:00:00"/>
    <x v="0"/>
    <x v="1"/>
    <x v="3"/>
    <n v="158"/>
    <n v="22.57"/>
    <n v="3566.06"/>
    <n v="2525.2600000000002"/>
    <n v="1040.8"/>
    <x v="4"/>
  </r>
  <r>
    <s v="ORD00006"/>
    <d v="2025-12-16T00:00:00"/>
    <x v="2"/>
    <x v="1"/>
    <x v="4"/>
    <n v="102"/>
    <n v="13.09"/>
    <n v="1335.18"/>
    <n v="953.64"/>
    <n v="381.54"/>
    <x v="5"/>
  </r>
  <r>
    <s v="ORD00007"/>
    <d v="2025-10-08T00:00:00"/>
    <x v="3"/>
    <x v="2"/>
    <x v="3"/>
    <n v="42"/>
    <n v="26.93"/>
    <n v="1131.06"/>
    <n v="818.66"/>
    <n v="312.39999999999998"/>
    <x v="1"/>
  </r>
  <r>
    <s v="ORD00008"/>
    <d v="2025-08-07T00:00:00"/>
    <x v="4"/>
    <x v="1"/>
    <x v="2"/>
    <n v="170"/>
    <n v="23.97"/>
    <n v="4074.9"/>
    <n v="3197.53"/>
    <n v="877.37"/>
    <x v="6"/>
  </r>
  <r>
    <s v="ORD00009"/>
    <d v="2025-04-03T00:00:00"/>
    <x v="3"/>
    <x v="1"/>
    <x v="5"/>
    <n v="134"/>
    <n v="12.46"/>
    <n v="1669.64"/>
    <n v="1102.05"/>
    <n v="567.59"/>
    <x v="7"/>
  </r>
  <r>
    <s v="ORD00010"/>
    <d v="2025-08-18T00:00:00"/>
    <x v="0"/>
    <x v="1"/>
    <x v="2"/>
    <n v="157"/>
    <n v="28.27"/>
    <n v="4438.3900000000003"/>
    <n v="2728.01"/>
    <n v="1710.38"/>
    <x v="6"/>
  </r>
  <r>
    <s v="ORD00011"/>
    <d v="2025-06-25T00:00:00"/>
    <x v="5"/>
    <x v="0"/>
    <x v="3"/>
    <n v="87"/>
    <n v="38"/>
    <n v="3306"/>
    <n v="2262.4299999999998"/>
    <n v="1043.57"/>
    <x v="0"/>
  </r>
  <r>
    <s v="ORD00012"/>
    <d v="2025-10-21T00:00:00"/>
    <x v="3"/>
    <x v="2"/>
    <x v="1"/>
    <n v="170"/>
    <n v="20.2"/>
    <n v="3434"/>
    <n v="2300.9"/>
    <n v="1133.0999999999999"/>
    <x v="1"/>
  </r>
  <r>
    <s v="ORD00013"/>
    <d v="2025-02-05T00:00:00"/>
    <x v="5"/>
    <x v="0"/>
    <x v="4"/>
    <n v="57"/>
    <n v="38.340000000000003"/>
    <n v="2185.38"/>
    <n v="1518.45"/>
    <n v="666.93"/>
    <x v="2"/>
  </r>
  <r>
    <s v="ORD00014"/>
    <d v="2025-12-26T00:00:00"/>
    <x v="3"/>
    <x v="1"/>
    <x v="5"/>
    <n v="168"/>
    <n v="29.41"/>
    <n v="4940.88"/>
    <n v="3945.88"/>
    <n v="995"/>
    <x v="5"/>
  </r>
  <r>
    <s v="ORD00015"/>
    <d v="2025-07-17T00:00:00"/>
    <x v="2"/>
    <x v="2"/>
    <x v="4"/>
    <n v="187"/>
    <n v="10.68"/>
    <n v="1997.16"/>
    <n v="1382.71"/>
    <n v="614.45000000000005"/>
    <x v="8"/>
  </r>
  <r>
    <s v="ORD00016"/>
    <d v="2025-09-10T00:00:00"/>
    <x v="5"/>
    <x v="0"/>
    <x v="1"/>
    <n v="40"/>
    <n v="16.55"/>
    <n v="662"/>
    <n v="435.26"/>
    <n v="226.74"/>
    <x v="9"/>
  </r>
  <r>
    <s v="ORD00017"/>
    <d v="2025-07-20T00:00:00"/>
    <x v="0"/>
    <x v="1"/>
    <x v="2"/>
    <n v="264"/>
    <n v="12.42"/>
    <n v="3278.88"/>
    <n v="2261.89"/>
    <n v="1016.99"/>
    <x v="8"/>
  </r>
  <r>
    <s v="ORD00018"/>
    <d v="2025-08-09T00:00:00"/>
    <x v="4"/>
    <x v="2"/>
    <x v="1"/>
    <n v="291"/>
    <n v="18.350000000000001"/>
    <n v="5339.85"/>
    <n v="3647.43"/>
    <n v="1692.42"/>
    <x v="6"/>
  </r>
  <r>
    <s v="ORD00019"/>
    <d v="2025-04-29T00:00:00"/>
    <x v="5"/>
    <x v="0"/>
    <x v="4"/>
    <n v="87"/>
    <n v="12.49"/>
    <n v="1086.6300000000001"/>
    <n v="684.86"/>
    <n v="401.77"/>
    <x v="7"/>
  </r>
  <r>
    <s v="ORD00020"/>
    <d v="2025-09-06T00:00:00"/>
    <x v="3"/>
    <x v="2"/>
    <x v="0"/>
    <n v="103"/>
    <n v="17.88"/>
    <n v="1841.64"/>
    <n v="1106.49"/>
    <n v="735.15"/>
    <x v="9"/>
  </r>
  <r>
    <s v="ORD00021"/>
    <d v="2025-11-09T00:00:00"/>
    <x v="0"/>
    <x v="2"/>
    <x v="5"/>
    <n v="299"/>
    <n v="19.559999999999999"/>
    <n v="5848.44"/>
    <n v="3655.85"/>
    <n v="2192.59"/>
    <x v="3"/>
  </r>
  <r>
    <s v="ORD00022"/>
    <d v="2025-12-13T00:00:00"/>
    <x v="5"/>
    <x v="2"/>
    <x v="1"/>
    <n v="37"/>
    <n v="23.7"/>
    <n v="876.9"/>
    <n v="678.89"/>
    <n v="198.01"/>
    <x v="5"/>
  </r>
  <r>
    <s v="ORD00023"/>
    <d v="2025-07-23T00:00:00"/>
    <x v="3"/>
    <x v="0"/>
    <x v="2"/>
    <n v="214"/>
    <n v="21.82"/>
    <n v="4669.4799999999996"/>
    <n v="3251.38"/>
    <n v="1418.1"/>
    <x v="8"/>
  </r>
  <r>
    <s v="ORD00024"/>
    <d v="2025-02-04T00:00:00"/>
    <x v="0"/>
    <x v="0"/>
    <x v="4"/>
    <n v="116"/>
    <n v="23.22"/>
    <n v="2693.52"/>
    <n v="1675.33"/>
    <n v="1018.19"/>
    <x v="2"/>
  </r>
  <r>
    <s v="ORD00025"/>
    <d v="2025-01-01T00:00:00"/>
    <x v="4"/>
    <x v="2"/>
    <x v="4"/>
    <n v="300"/>
    <n v="14.54"/>
    <n v="4362"/>
    <n v="2705.72"/>
    <n v="1656.28"/>
    <x v="10"/>
  </r>
  <r>
    <s v="ORD00026"/>
    <d v="2025-02-06T00:00:00"/>
    <x v="4"/>
    <x v="1"/>
    <x v="3"/>
    <n v="116"/>
    <n v="28.42"/>
    <n v="3296.72"/>
    <n v="2075.98"/>
    <n v="1220.74"/>
    <x v="2"/>
  </r>
  <r>
    <s v="ORD00027"/>
    <d v="2025-07-06T00:00:00"/>
    <x v="3"/>
    <x v="1"/>
    <x v="1"/>
    <n v="252"/>
    <n v="13.69"/>
    <n v="3449.88"/>
    <n v="2655.67"/>
    <n v="794.21"/>
    <x v="8"/>
  </r>
  <r>
    <s v="ORD00028"/>
    <d v="2025-06-09T00:00:00"/>
    <x v="5"/>
    <x v="1"/>
    <x v="1"/>
    <n v="53"/>
    <n v="14.32"/>
    <n v="758.96"/>
    <n v="569.16999999999996"/>
    <n v="189.79"/>
    <x v="0"/>
  </r>
  <r>
    <s v="ORD00029"/>
    <d v="2025-12-21T00:00:00"/>
    <x v="0"/>
    <x v="1"/>
    <x v="2"/>
    <n v="92"/>
    <n v="25.49"/>
    <n v="2345.08"/>
    <n v="1503.3"/>
    <n v="841.78"/>
    <x v="5"/>
  </r>
  <r>
    <s v="ORD00030"/>
    <d v="2025-12-20T00:00:00"/>
    <x v="4"/>
    <x v="2"/>
    <x v="4"/>
    <n v="288"/>
    <n v="37.42"/>
    <n v="10776.96"/>
    <n v="8100.27"/>
    <n v="2676.69"/>
    <x v="5"/>
  </r>
  <r>
    <s v="ORD00031"/>
    <d v="2025-12-23T00:00:00"/>
    <x v="4"/>
    <x v="0"/>
    <x v="3"/>
    <n v="143"/>
    <n v="25.55"/>
    <n v="3653.65"/>
    <n v="2855.88"/>
    <n v="797.77"/>
    <x v="5"/>
  </r>
  <r>
    <s v="ORD00032"/>
    <d v="2025-10-05T00:00:00"/>
    <x v="2"/>
    <x v="0"/>
    <x v="1"/>
    <n v="267"/>
    <n v="19.89"/>
    <n v="5310.63"/>
    <n v="3423.28"/>
    <n v="1887.35"/>
    <x v="1"/>
  </r>
  <r>
    <s v="ORD00033"/>
    <d v="2025-04-27T00:00:00"/>
    <x v="1"/>
    <x v="0"/>
    <x v="0"/>
    <n v="112"/>
    <n v="25.53"/>
    <n v="2859.36"/>
    <n v="1918.95"/>
    <n v="940.41"/>
    <x v="7"/>
  </r>
  <r>
    <s v="ORD00034"/>
    <d v="2025-08-30T00:00:00"/>
    <x v="4"/>
    <x v="1"/>
    <x v="5"/>
    <n v="142"/>
    <n v="15.81"/>
    <n v="2245.02"/>
    <n v="1618.72"/>
    <n v="626.29999999999995"/>
    <x v="6"/>
  </r>
  <r>
    <s v="ORD00035"/>
    <d v="2025-06-28T00:00:00"/>
    <x v="3"/>
    <x v="0"/>
    <x v="0"/>
    <n v="196"/>
    <n v="12.42"/>
    <n v="2434.3200000000002"/>
    <n v="1510.33"/>
    <n v="923.99"/>
    <x v="0"/>
  </r>
  <r>
    <s v="ORD00036"/>
    <d v="2025-04-15T00:00:00"/>
    <x v="1"/>
    <x v="1"/>
    <x v="5"/>
    <n v="257"/>
    <n v="28.72"/>
    <n v="7381.04"/>
    <n v="5757.67"/>
    <n v="1623.37"/>
    <x v="7"/>
  </r>
  <r>
    <s v="ORD00037"/>
    <d v="2025-06-26T00:00:00"/>
    <x v="3"/>
    <x v="2"/>
    <x v="2"/>
    <n v="53"/>
    <n v="35.04"/>
    <n v="1857.12"/>
    <n v="1158.81"/>
    <n v="698.31"/>
    <x v="0"/>
  </r>
  <r>
    <s v="ORD00038"/>
    <d v="2025-09-02T00:00:00"/>
    <x v="1"/>
    <x v="2"/>
    <x v="1"/>
    <n v="101"/>
    <n v="23.02"/>
    <n v="2325.02"/>
    <n v="1690.68"/>
    <n v="634.34"/>
    <x v="9"/>
  </r>
  <r>
    <s v="ORD00039"/>
    <d v="2025-08-26T00:00:00"/>
    <x v="2"/>
    <x v="0"/>
    <x v="2"/>
    <n v="215"/>
    <n v="32.299999999999997"/>
    <n v="6944.5"/>
    <n v="4284.6400000000003"/>
    <n v="2659.86"/>
    <x v="6"/>
  </r>
  <r>
    <s v="ORD00040"/>
    <d v="2025-01-15T00:00:00"/>
    <x v="5"/>
    <x v="0"/>
    <x v="3"/>
    <n v="87"/>
    <n v="27.72"/>
    <n v="2411.64"/>
    <n v="1671.44"/>
    <n v="740.2"/>
    <x v="10"/>
  </r>
  <r>
    <s v="ORD00041"/>
    <d v="2025-11-02T00:00:00"/>
    <x v="0"/>
    <x v="2"/>
    <x v="2"/>
    <n v="252"/>
    <n v="29.72"/>
    <n v="7489.44"/>
    <n v="5018.54"/>
    <n v="2470.9"/>
    <x v="3"/>
  </r>
  <r>
    <s v="ORD00042"/>
    <d v="2025-01-11T00:00:00"/>
    <x v="1"/>
    <x v="2"/>
    <x v="5"/>
    <n v="17"/>
    <n v="33.979999999999997"/>
    <n v="577.66"/>
    <n v="430.51"/>
    <n v="147.15"/>
    <x v="10"/>
  </r>
  <r>
    <s v="ORD00043"/>
    <d v="2025-03-13T00:00:00"/>
    <x v="2"/>
    <x v="0"/>
    <x v="0"/>
    <n v="232"/>
    <n v="39.6"/>
    <n v="9187.2000000000007"/>
    <n v="5870.26"/>
    <n v="3316.94"/>
    <x v="4"/>
  </r>
  <r>
    <s v="ORD00044"/>
    <d v="2025-04-19T00:00:00"/>
    <x v="4"/>
    <x v="1"/>
    <x v="3"/>
    <n v="159"/>
    <n v="25.03"/>
    <n v="3979.77"/>
    <n v="2995.72"/>
    <n v="984.05"/>
    <x v="7"/>
  </r>
  <r>
    <s v="ORD00045"/>
    <d v="2025-08-03T00:00:00"/>
    <x v="3"/>
    <x v="2"/>
    <x v="3"/>
    <n v="77"/>
    <n v="11.83"/>
    <n v="910.91"/>
    <n v="681.35"/>
    <n v="229.56"/>
    <x v="6"/>
  </r>
  <r>
    <s v="ORD00046"/>
    <d v="2025-09-22T00:00:00"/>
    <x v="2"/>
    <x v="2"/>
    <x v="2"/>
    <n v="225"/>
    <n v="34.81"/>
    <n v="7832.25"/>
    <n v="6074.96"/>
    <n v="1757.29"/>
    <x v="9"/>
  </r>
  <r>
    <s v="ORD00047"/>
    <d v="2025-09-26T00:00:00"/>
    <x v="2"/>
    <x v="2"/>
    <x v="4"/>
    <n v="271"/>
    <n v="10.56"/>
    <n v="2861.76"/>
    <n v="1968.96"/>
    <n v="892.8"/>
    <x v="9"/>
  </r>
  <r>
    <s v="ORD00048"/>
    <d v="2025-03-18T00:00:00"/>
    <x v="1"/>
    <x v="2"/>
    <x v="4"/>
    <n v="98"/>
    <n v="14.25"/>
    <n v="1396.5"/>
    <n v="1010.81"/>
    <n v="385.69"/>
    <x v="4"/>
  </r>
  <r>
    <s v="ORD00049"/>
    <d v="2025-06-16T00:00:00"/>
    <x v="1"/>
    <x v="2"/>
    <x v="4"/>
    <n v="275"/>
    <n v="25.92"/>
    <n v="7128"/>
    <n v="4964.63"/>
    <n v="2163.37"/>
    <x v="0"/>
  </r>
  <r>
    <s v="ORD00050"/>
    <d v="2025-05-08T00:00:00"/>
    <x v="0"/>
    <x v="1"/>
    <x v="3"/>
    <n v="107"/>
    <n v="18.309999999999999"/>
    <n v="1959.17"/>
    <n v="1478.1"/>
    <n v="481.07"/>
    <x v="11"/>
  </r>
  <r>
    <s v="ORD00051"/>
    <d v="2025-01-15T00:00:00"/>
    <x v="0"/>
    <x v="2"/>
    <x v="3"/>
    <n v="42"/>
    <n v="23.3"/>
    <n v="978.6"/>
    <n v="707.04"/>
    <n v="271.56"/>
    <x v="10"/>
  </r>
  <r>
    <s v="ORD00052"/>
    <d v="2025-04-13T00:00:00"/>
    <x v="3"/>
    <x v="2"/>
    <x v="2"/>
    <n v="151"/>
    <n v="23.57"/>
    <n v="3559.07"/>
    <n v="2515.04"/>
    <n v="1044.03"/>
    <x v="7"/>
  </r>
  <r>
    <s v="ORD00053"/>
    <d v="2025-12-24T00:00:00"/>
    <x v="4"/>
    <x v="2"/>
    <x v="2"/>
    <n v="277"/>
    <n v="36.299999999999997"/>
    <n v="10055.1"/>
    <n v="7927.8"/>
    <n v="2127.3000000000002"/>
    <x v="5"/>
  </r>
  <r>
    <s v="ORD00054"/>
    <d v="2025-08-18T00:00:00"/>
    <x v="4"/>
    <x v="0"/>
    <x v="5"/>
    <n v="80"/>
    <n v="22.5"/>
    <n v="1800"/>
    <n v="1221.25"/>
    <n v="578.75"/>
    <x v="6"/>
  </r>
  <r>
    <s v="ORD00055"/>
    <d v="2025-05-04T00:00:00"/>
    <x v="1"/>
    <x v="0"/>
    <x v="5"/>
    <n v="229"/>
    <n v="12.19"/>
    <n v="2791.51"/>
    <n v="2048.67"/>
    <n v="742.84"/>
    <x v="11"/>
  </r>
  <r>
    <s v="ORD00056"/>
    <d v="2025-11-26T00:00:00"/>
    <x v="3"/>
    <x v="0"/>
    <x v="5"/>
    <n v="197"/>
    <n v="14.29"/>
    <n v="2815.13"/>
    <n v="2186.14"/>
    <n v="628.99"/>
    <x v="3"/>
  </r>
  <r>
    <s v="ORD00057"/>
    <d v="2025-02-18T00:00:00"/>
    <x v="5"/>
    <x v="0"/>
    <x v="2"/>
    <n v="213"/>
    <n v="36.549999999999997"/>
    <n v="7785.15"/>
    <n v="4924.57"/>
    <n v="2860.58"/>
    <x v="2"/>
  </r>
  <r>
    <s v="ORD00058"/>
    <d v="2025-12-28T00:00:00"/>
    <x v="3"/>
    <x v="0"/>
    <x v="0"/>
    <n v="230"/>
    <n v="39.82"/>
    <n v="9158.6"/>
    <n v="6234.83"/>
    <n v="2923.77"/>
    <x v="5"/>
  </r>
  <r>
    <s v="ORD00059"/>
    <d v="2025-06-13T00:00:00"/>
    <x v="0"/>
    <x v="1"/>
    <x v="1"/>
    <n v="57"/>
    <n v="31.66"/>
    <n v="1804.62"/>
    <n v="1089.8"/>
    <n v="714.82"/>
    <x v="0"/>
  </r>
  <r>
    <s v="ORD00060"/>
    <d v="2025-12-27T00:00:00"/>
    <x v="4"/>
    <x v="2"/>
    <x v="4"/>
    <n v="19"/>
    <n v="21.53"/>
    <n v="409.07"/>
    <n v="287.77999999999997"/>
    <n v="121.29"/>
    <x v="5"/>
  </r>
  <r>
    <s v="ORD00061"/>
    <d v="2025-02-27T00:00:00"/>
    <x v="4"/>
    <x v="1"/>
    <x v="4"/>
    <n v="127"/>
    <n v="39.15"/>
    <n v="4972.05"/>
    <n v="3087.42"/>
    <n v="1884.63"/>
    <x v="2"/>
  </r>
  <r>
    <s v="ORD00062"/>
    <d v="2025-04-03T00:00:00"/>
    <x v="5"/>
    <x v="1"/>
    <x v="1"/>
    <n v="148"/>
    <n v="32.67"/>
    <n v="4835.16"/>
    <n v="3693.85"/>
    <n v="1141.31"/>
    <x v="7"/>
  </r>
  <r>
    <s v="ORD00063"/>
    <d v="2025-03-18T00:00:00"/>
    <x v="5"/>
    <x v="1"/>
    <x v="4"/>
    <n v="284"/>
    <n v="37.58"/>
    <n v="10672.72"/>
    <n v="7621.59"/>
    <n v="3051.13"/>
    <x v="4"/>
  </r>
  <r>
    <s v="ORD00064"/>
    <d v="2025-05-23T00:00:00"/>
    <x v="1"/>
    <x v="1"/>
    <x v="4"/>
    <n v="39"/>
    <n v="33.99"/>
    <n v="1325.61"/>
    <n v="843.97"/>
    <n v="481.64"/>
    <x v="11"/>
  </r>
  <r>
    <s v="ORD00065"/>
    <d v="2025-11-21T00:00:00"/>
    <x v="2"/>
    <x v="0"/>
    <x v="0"/>
    <n v="55"/>
    <n v="34.049999999999997"/>
    <n v="1872.75"/>
    <n v="1155.02"/>
    <n v="717.73"/>
    <x v="3"/>
  </r>
  <r>
    <s v="ORD00066"/>
    <d v="2025-03-04T00:00:00"/>
    <x v="3"/>
    <x v="1"/>
    <x v="3"/>
    <n v="242"/>
    <n v="10.35"/>
    <n v="2504.6999999999998"/>
    <n v="2000.91"/>
    <n v="503.79"/>
    <x v="4"/>
  </r>
  <r>
    <s v="ORD00067"/>
    <d v="2025-03-08T00:00:00"/>
    <x v="1"/>
    <x v="0"/>
    <x v="0"/>
    <n v="32"/>
    <n v="25.81"/>
    <n v="825.92"/>
    <n v="534.94000000000005"/>
    <n v="290.98"/>
    <x v="4"/>
  </r>
  <r>
    <s v="ORD00068"/>
    <d v="2025-01-26T00:00:00"/>
    <x v="4"/>
    <x v="2"/>
    <x v="2"/>
    <n v="102"/>
    <n v="16.05"/>
    <n v="1637.1"/>
    <n v="1084.4100000000001"/>
    <n v="552.69000000000005"/>
    <x v="10"/>
  </r>
  <r>
    <s v="ORD00069"/>
    <d v="2025-05-29T00:00:00"/>
    <x v="4"/>
    <x v="0"/>
    <x v="0"/>
    <n v="238"/>
    <n v="25"/>
    <n v="5950"/>
    <n v="3781.7"/>
    <n v="2168.3000000000002"/>
    <x v="11"/>
  </r>
  <r>
    <s v="ORD00070"/>
    <d v="2025-01-19T00:00:00"/>
    <x v="2"/>
    <x v="2"/>
    <x v="1"/>
    <n v="17"/>
    <n v="10.55"/>
    <n v="179.35"/>
    <n v="125.75"/>
    <n v="53.6"/>
    <x v="10"/>
  </r>
  <r>
    <s v="ORD00071"/>
    <d v="2025-05-06T00:00:00"/>
    <x v="3"/>
    <x v="2"/>
    <x v="1"/>
    <n v="238"/>
    <n v="13.19"/>
    <n v="3139.22"/>
    <n v="2397.69"/>
    <n v="741.53"/>
    <x v="11"/>
  </r>
  <r>
    <s v="ORD00072"/>
    <d v="2025-10-07T00:00:00"/>
    <x v="2"/>
    <x v="0"/>
    <x v="0"/>
    <n v="211"/>
    <n v="39.11"/>
    <n v="8252.2099999999991"/>
    <n v="5459.3"/>
    <n v="2792.91"/>
    <x v="1"/>
  </r>
  <r>
    <s v="ORD00073"/>
    <d v="2025-04-12T00:00:00"/>
    <x v="1"/>
    <x v="0"/>
    <x v="4"/>
    <n v="81"/>
    <n v="22.14"/>
    <n v="1793.34"/>
    <n v="1200.6600000000001"/>
    <n v="592.67999999999995"/>
    <x v="7"/>
  </r>
  <r>
    <s v="ORD00074"/>
    <d v="2025-02-06T00:00:00"/>
    <x v="5"/>
    <x v="1"/>
    <x v="3"/>
    <n v="140"/>
    <n v="22.92"/>
    <n v="3208.8"/>
    <n v="1960.83"/>
    <n v="1247.97"/>
    <x v="2"/>
  </r>
  <r>
    <s v="ORD00075"/>
    <d v="2025-12-10T00:00:00"/>
    <x v="1"/>
    <x v="1"/>
    <x v="2"/>
    <n v="154"/>
    <n v="27.96"/>
    <n v="4305.84"/>
    <n v="3180.02"/>
    <n v="1125.82"/>
    <x v="5"/>
  </r>
  <r>
    <s v="ORD00076"/>
    <d v="2025-03-22T00:00:00"/>
    <x v="4"/>
    <x v="2"/>
    <x v="0"/>
    <n v="147"/>
    <n v="23.37"/>
    <n v="3435.39"/>
    <n v="2242.1"/>
    <n v="1193.29"/>
    <x v="4"/>
  </r>
  <r>
    <s v="ORD00077"/>
    <d v="2025-05-06T00:00:00"/>
    <x v="4"/>
    <x v="0"/>
    <x v="4"/>
    <n v="27"/>
    <n v="38.97"/>
    <n v="1052.19"/>
    <n v="696.45"/>
    <n v="355.74"/>
    <x v="11"/>
  </r>
  <r>
    <s v="ORD00078"/>
    <d v="2025-06-21T00:00:00"/>
    <x v="5"/>
    <x v="0"/>
    <x v="2"/>
    <n v="205"/>
    <n v="12.52"/>
    <n v="2566.6"/>
    <n v="1683.14"/>
    <n v="883.46"/>
    <x v="0"/>
  </r>
  <r>
    <s v="ORD00079"/>
    <d v="2025-09-16T00:00:00"/>
    <x v="2"/>
    <x v="1"/>
    <x v="3"/>
    <n v="12"/>
    <n v="12.73"/>
    <n v="152.76"/>
    <n v="116.62"/>
    <n v="36.14"/>
    <x v="9"/>
  </r>
  <r>
    <s v="ORD00080"/>
    <d v="2025-01-22T00:00:00"/>
    <x v="2"/>
    <x v="0"/>
    <x v="3"/>
    <n v="211"/>
    <n v="10.67"/>
    <n v="2251.37"/>
    <n v="1487.82"/>
    <n v="763.55"/>
    <x v="10"/>
  </r>
  <r>
    <s v="ORD00081"/>
    <d v="2025-09-28T00:00:00"/>
    <x v="0"/>
    <x v="1"/>
    <x v="0"/>
    <n v="89"/>
    <n v="29.73"/>
    <n v="2645.97"/>
    <n v="1966.48"/>
    <n v="679.49"/>
    <x v="9"/>
  </r>
  <r>
    <s v="ORD00082"/>
    <d v="2025-09-11T00:00:00"/>
    <x v="2"/>
    <x v="0"/>
    <x v="5"/>
    <n v="86"/>
    <n v="18.53"/>
    <n v="1593.58"/>
    <n v="1153.3399999999999"/>
    <n v="440.24"/>
    <x v="9"/>
  </r>
  <r>
    <s v="ORD00083"/>
    <d v="2025-09-20T00:00:00"/>
    <x v="2"/>
    <x v="2"/>
    <x v="3"/>
    <n v="229"/>
    <n v="32.020000000000003"/>
    <n v="7332.58"/>
    <n v="5590.68"/>
    <n v="1741.9"/>
    <x v="9"/>
  </r>
  <r>
    <s v="ORD00084"/>
    <d v="2025-10-19T00:00:00"/>
    <x v="5"/>
    <x v="2"/>
    <x v="5"/>
    <n v="18"/>
    <n v="34.79"/>
    <n v="626.22"/>
    <n v="448.88"/>
    <n v="177.34"/>
    <x v="1"/>
  </r>
  <r>
    <s v="ORD00085"/>
    <d v="2025-11-26T00:00:00"/>
    <x v="5"/>
    <x v="1"/>
    <x v="4"/>
    <n v="127"/>
    <n v="12.55"/>
    <n v="1593.85"/>
    <n v="969.65"/>
    <n v="624.20000000000005"/>
    <x v="3"/>
  </r>
  <r>
    <s v="ORD00086"/>
    <d v="2025-07-12T00:00:00"/>
    <x v="5"/>
    <x v="2"/>
    <x v="5"/>
    <n v="241"/>
    <n v="26.76"/>
    <n v="6449.16"/>
    <n v="4679.21"/>
    <n v="1769.95"/>
    <x v="8"/>
  </r>
  <r>
    <s v="ORD00087"/>
    <d v="2025-05-06T00:00:00"/>
    <x v="1"/>
    <x v="2"/>
    <x v="3"/>
    <n v="260"/>
    <n v="17.91"/>
    <n v="4656.6000000000004"/>
    <n v="3219.53"/>
    <n v="1437.07"/>
    <x v="11"/>
  </r>
  <r>
    <s v="ORD00088"/>
    <d v="2025-10-02T00:00:00"/>
    <x v="5"/>
    <x v="1"/>
    <x v="0"/>
    <n v="57"/>
    <n v="29.78"/>
    <n v="1697.46"/>
    <n v="1040.9000000000001"/>
    <n v="656.56"/>
    <x v="1"/>
  </r>
  <r>
    <s v="ORD00089"/>
    <d v="2025-02-08T00:00:00"/>
    <x v="2"/>
    <x v="2"/>
    <x v="5"/>
    <n v="145"/>
    <n v="17.04"/>
    <n v="2470.8000000000002"/>
    <n v="1856.28"/>
    <n v="614.52"/>
    <x v="2"/>
  </r>
  <r>
    <s v="ORD00090"/>
    <d v="2025-08-24T00:00:00"/>
    <x v="5"/>
    <x v="1"/>
    <x v="4"/>
    <n v="262"/>
    <n v="35.369999999999997"/>
    <n v="9266.94"/>
    <n v="5702.39"/>
    <n v="3564.55"/>
    <x v="6"/>
  </r>
  <r>
    <s v="ORD00091"/>
    <d v="2025-11-12T00:00:00"/>
    <x v="4"/>
    <x v="2"/>
    <x v="5"/>
    <n v="111"/>
    <n v="12.32"/>
    <n v="1367.52"/>
    <n v="860.83"/>
    <n v="506.69"/>
    <x v="3"/>
  </r>
  <r>
    <s v="ORD00092"/>
    <d v="2025-12-21T00:00:00"/>
    <x v="3"/>
    <x v="0"/>
    <x v="1"/>
    <n v="165"/>
    <n v="28.63"/>
    <n v="4723.95"/>
    <n v="2960.44"/>
    <n v="1763.51"/>
    <x v="5"/>
  </r>
  <r>
    <s v="ORD00093"/>
    <d v="2025-05-18T00:00:00"/>
    <x v="4"/>
    <x v="2"/>
    <x v="3"/>
    <n v="60"/>
    <n v="30.77"/>
    <n v="1846.2"/>
    <n v="1357.22"/>
    <n v="488.98"/>
    <x v="11"/>
  </r>
  <r>
    <s v="ORD00094"/>
    <d v="2025-05-27T00:00:00"/>
    <x v="0"/>
    <x v="0"/>
    <x v="0"/>
    <n v="247"/>
    <n v="23.98"/>
    <n v="5923.06"/>
    <n v="4462.63"/>
    <n v="1460.43"/>
    <x v="11"/>
  </r>
  <r>
    <s v="ORD00095"/>
    <d v="2025-02-13T00:00:00"/>
    <x v="0"/>
    <x v="1"/>
    <x v="0"/>
    <n v="252"/>
    <n v="10.53"/>
    <n v="2653.56"/>
    <n v="1835.72"/>
    <n v="817.84"/>
    <x v="2"/>
  </r>
  <r>
    <s v="ORD00096"/>
    <d v="2025-07-18T00:00:00"/>
    <x v="1"/>
    <x v="2"/>
    <x v="4"/>
    <n v="117"/>
    <n v="37.5"/>
    <n v="4387.5"/>
    <n v="3449.05"/>
    <n v="938.45"/>
    <x v="8"/>
  </r>
  <r>
    <s v="ORD00097"/>
    <d v="2025-03-14T00:00:00"/>
    <x v="0"/>
    <x v="2"/>
    <x v="3"/>
    <n v="278"/>
    <n v="17.850000000000001"/>
    <n v="4962.3"/>
    <n v="3334.22"/>
    <n v="1628.08"/>
    <x v="4"/>
  </r>
  <r>
    <s v="ORD00098"/>
    <d v="2025-05-24T00:00:00"/>
    <x v="3"/>
    <x v="1"/>
    <x v="4"/>
    <n v="67"/>
    <n v="31.1"/>
    <n v="2083.6999999999998"/>
    <n v="1346.65"/>
    <n v="737.05"/>
    <x v="11"/>
  </r>
  <r>
    <s v="ORD00099"/>
    <d v="2025-03-23T00:00:00"/>
    <x v="3"/>
    <x v="1"/>
    <x v="5"/>
    <n v="11"/>
    <n v="38.5"/>
    <n v="423.5"/>
    <n v="311.83"/>
    <n v="111.67"/>
    <x v="4"/>
  </r>
  <r>
    <s v="ORD00100"/>
    <d v="2025-03-14T00:00:00"/>
    <x v="4"/>
    <x v="0"/>
    <x v="0"/>
    <n v="223"/>
    <n v="20.32"/>
    <n v="4531.3599999999997"/>
    <n v="3005.27"/>
    <n v="1526.09"/>
    <x v="4"/>
  </r>
  <r>
    <s v="ORD00101"/>
    <d v="2025-06-23T00:00:00"/>
    <x v="5"/>
    <x v="0"/>
    <x v="5"/>
    <n v="213"/>
    <n v="13.6"/>
    <n v="2896.8"/>
    <n v="2274.8000000000002"/>
    <n v="622"/>
    <x v="0"/>
  </r>
  <r>
    <s v="ORD00102"/>
    <d v="2025-05-29T00:00:00"/>
    <x v="0"/>
    <x v="0"/>
    <x v="0"/>
    <n v="139"/>
    <n v="21.17"/>
    <n v="2942.63"/>
    <n v="1996.81"/>
    <n v="945.82"/>
    <x v="11"/>
  </r>
  <r>
    <s v="ORD00103"/>
    <d v="2025-08-08T00:00:00"/>
    <x v="1"/>
    <x v="2"/>
    <x v="0"/>
    <n v="150"/>
    <n v="35.630000000000003"/>
    <n v="5344.5"/>
    <n v="3506.67"/>
    <n v="1837.83"/>
    <x v="6"/>
  </r>
  <r>
    <s v="ORD00104"/>
    <d v="2025-11-22T00:00:00"/>
    <x v="0"/>
    <x v="1"/>
    <x v="2"/>
    <n v="86"/>
    <n v="17.48"/>
    <n v="1503.28"/>
    <n v="981.86"/>
    <n v="521.41999999999996"/>
    <x v="3"/>
  </r>
  <r>
    <s v="ORD00105"/>
    <d v="2025-07-11T00:00:00"/>
    <x v="5"/>
    <x v="1"/>
    <x v="3"/>
    <n v="229"/>
    <n v="36.53"/>
    <n v="8365.3700000000008"/>
    <n v="6377.69"/>
    <n v="1987.68"/>
    <x v="8"/>
  </r>
  <r>
    <s v="ORD00106"/>
    <d v="2025-10-09T00:00:00"/>
    <x v="5"/>
    <x v="1"/>
    <x v="1"/>
    <n v="114"/>
    <n v="31.59"/>
    <n v="3601.26"/>
    <n v="2196.39"/>
    <n v="1404.87"/>
    <x v="1"/>
  </r>
  <r>
    <s v="ORD00107"/>
    <d v="2025-11-11T00:00:00"/>
    <x v="1"/>
    <x v="2"/>
    <x v="2"/>
    <n v="80"/>
    <n v="29.33"/>
    <n v="2346.4"/>
    <n v="1542.15"/>
    <n v="804.25"/>
    <x v="3"/>
  </r>
  <r>
    <s v="ORD00108"/>
    <d v="2025-03-29T00:00:00"/>
    <x v="4"/>
    <x v="2"/>
    <x v="5"/>
    <n v="251"/>
    <n v="22.45"/>
    <n v="5634.95"/>
    <n v="3698.49"/>
    <n v="1936.46"/>
    <x v="4"/>
  </r>
  <r>
    <s v="ORD00109"/>
    <d v="2025-12-01T00:00:00"/>
    <x v="3"/>
    <x v="2"/>
    <x v="5"/>
    <n v="143"/>
    <n v="22.19"/>
    <n v="3173.17"/>
    <n v="2055.37"/>
    <n v="1117.8"/>
    <x v="5"/>
  </r>
  <r>
    <s v="ORD00110"/>
    <d v="2025-07-21T00:00:00"/>
    <x v="2"/>
    <x v="2"/>
    <x v="1"/>
    <n v="71"/>
    <n v="15.02"/>
    <n v="1066.42"/>
    <n v="674.33"/>
    <n v="392.09"/>
    <x v="8"/>
  </r>
  <r>
    <s v="ORD00111"/>
    <d v="2025-10-09T00:00:00"/>
    <x v="3"/>
    <x v="1"/>
    <x v="2"/>
    <n v="122"/>
    <n v="23.59"/>
    <n v="2877.98"/>
    <n v="1918.37"/>
    <n v="959.61"/>
    <x v="1"/>
  </r>
  <r>
    <s v="ORD00112"/>
    <d v="2025-10-08T00:00:00"/>
    <x v="0"/>
    <x v="0"/>
    <x v="0"/>
    <n v="108"/>
    <n v="17.32"/>
    <n v="1870.56"/>
    <n v="1187.69"/>
    <n v="682.87"/>
    <x v="1"/>
  </r>
  <r>
    <s v="ORD00113"/>
    <d v="2025-05-03T00:00:00"/>
    <x v="1"/>
    <x v="2"/>
    <x v="1"/>
    <n v="198"/>
    <n v="17.75"/>
    <n v="3514.5"/>
    <n v="2509.08"/>
    <n v="1005.42"/>
    <x v="11"/>
  </r>
  <r>
    <s v="ORD00114"/>
    <d v="2025-07-16T00:00:00"/>
    <x v="4"/>
    <x v="1"/>
    <x v="4"/>
    <n v="221"/>
    <n v="32.380000000000003"/>
    <n v="7155.98"/>
    <n v="4594.1499999999996"/>
    <n v="2561.83"/>
    <x v="8"/>
  </r>
  <r>
    <s v="ORD00115"/>
    <d v="2025-09-13T00:00:00"/>
    <x v="5"/>
    <x v="2"/>
    <x v="3"/>
    <n v="152"/>
    <n v="27.23"/>
    <n v="4138.96"/>
    <n v="2781.5"/>
    <n v="1357.46"/>
    <x v="9"/>
  </r>
  <r>
    <s v="ORD00116"/>
    <d v="2025-11-19T00:00:00"/>
    <x v="3"/>
    <x v="1"/>
    <x v="5"/>
    <n v="120"/>
    <n v="12.78"/>
    <n v="1533.6"/>
    <n v="1195.22"/>
    <n v="338.38"/>
    <x v="3"/>
  </r>
  <r>
    <s v="ORD00117"/>
    <d v="2025-08-17T00:00:00"/>
    <x v="1"/>
    <x v="0"/>
    <x v="4"/>
    <n v="231"/>
    <n v="38.619999999999997"/>
    <n v="8921.2199999999993"/>
    <n v="6866.99"/>
    <n v="2054.23"/>
    <x v="6"/>
  </r>
  <r>
    <s v="ORD00118"/>
    <d v="2025-08-06T00:00:00"/>
    <x v="1"/>
    <x v="1"/>
    <x v="3"/>
    <n v="252"/>
    <n v="39.049999999999997"/>
    <n v="9840.6"/>
    <n v="6868.39"/>
    <n v="2972.21"/>
    <x v="6"/>
  </r>
  <r>
    <s v="ORD00119"/>
    <d v="2025-08-28T00:00:00"/>
    <x v="2"/>
    <x v="0"/>
    <x v="3"/>
    <n v="239"/>
    <n v="17.45"/>
    <n v="4170.55"/>
    <n v="2593.29"/>
    <n v="1577.26"/>
    <x v="6"/>
  </r>
  <r>
    <s v="ORD00120"/>
    <d v="2025-12-16T00:00:00"/>
    <x v="5"/>
    <x v="1"/>
    <x v="4"/>
    <n v="65"/>
    <n v="38.24"/>
    <n v="2485.6"/>
    <n v="1850.15"/>
    <n v="635.45000000000005"/>
    <x v="5"/>
  </r>
  <r>
    <s v="ORD00121"/>
    <d v="2025-10-10T00:00:00"/>
    <x v="0"/>
    <x v="0"/>
    <x v="5"/>
    <n v="30"/>
    <n v="10.039999999999999"/>
    <n v="301.2"/>
    <n v="188.29"/>
    <n v="112.91"/>
    <x v="1"/>
  </r>
  <r>
    <s v="ORD00122"/>
    <d v="2025-06-05T00:00:00"/>
    <x v="3"/>
    <x v="2"/>
    <x v="4"/>
    <n v="75"/>
    <n v="28.79"/>
    <n v="2159.25"/>
    <n v="1523.68"/>
    <n v="635.57000000000005"/>
    <x v="0"/>
  </r>
  <r>
    <s v="ORD00123"/>
    <d v="2025-02-20T00:00:00"/>
    <x v="2"/>
    <x v="1"/>
    <x v="0"/>
    <n v="46"/>
    <n v="19.010000000000002"/>
    <n v="874.46"/>
    <n v="689.69"/>
    <n v="184.77"/>
    <x v="2"/>
  </r>
  <r>
    <s v="ORD00124"/>
    <d v="2025-04-25T00:00:00"/>
    <x v="3"/>
    <x v="1"/>
    <x v="0"/>
    <n v="10"/>
    <n v="10.31"/>
    <n v="103.1"/>
    <n v="68.08"/>
    <n v="35.020000000000003"/>
    <x v="7"/>
  </r>
  <r>
    <s v="ORD00125"/>
    <d v="2025-11-27T00:00:00"/>
    <x v="2"/>
    <x v="0"/>
    <x v="1"/>
    <n v="134"/>
    <n v="24.26"/>
    <n v="3250.84"/>
    <n v="2103.14"/>
    <n v="1147.7"/>
    <x v="3"/>
  </r>
  <r>
    <s v="ORD00126"/>
    <d v="2025-12-27T00:00:00"/>
    <x v="5"/>
    <x v="2"/>
    <x v="1"/>
    <n v="167"/>
    <n v="11.66"/>
    <n v="1947.22"/>
    <n v="1243.93"/>
    <n v="703.29"/>
    <x v="5"/>
  </r>
  <r>
    <s v="ORD00127"/>
    <d v="2025-02-11T00:00:00"/>
    <x v="4"/>
    <x v="0"/>
    <x v="1"/>
    <n v="141"/>
    <n v="16.84"/>
    <n v="2374.44"/>
    <n v="1626.17"/>
    <n v="748.27"/>
    <x v="2"/>
  </r>
  <r>
    <s v="ORD00128"/>
    <d v="2025-01-18T00:00:00"/>
    <x v="3"/>
    <x v="0"/>
    <x v="4"/>
    <n v="183"/>
    <n v="31.55"/>
    <n v="5773.65"/>
    <n v="3882.57"/>
    <n v="1891.08"/>
    <x v="10"/>
  </r>
  <r>
    <s v="ORD00129"/>
    <d v="2025-05-30T00:00:00"/>
    <x v="2"/>
    <x v="1"/>
    <x v="2"/>
    <n v="268"/>
    <n v="12.02"/>
    <n v="3221.36"/>
    <n v="2252.1799999999998"/>
    <n v="969.18"/>
    <x v="11"/>
  </r>
  <r>
    <s v="ORD00130"/>
    <d v="2025-04-29T00:00:00"/>
    <x v="4"/>
    <x v="0"/>
    <x v="3"/>
    <n v="248"/>
    <n v="16.64"/>
    <n v="4126.72"/>
    <n v="3103.68"/>
    <n v="1023.04"/>
    <x v="7"/>
  </r>
  <r>
    <s v="ORD00131"/>
    <d v="2025-09-11T00:00:00"/>
    <x v="5"/>
    <x v="0"/>
    <x v="3"/>
    <n v="105"/>
    <n v="36.89"/>
    <n v="3873.45"/>
    <n v="2699.84"/>
    <n v="1173.6099999999999"/>
    <x v="9"/>
  </r>
  <r>
    <s v="ORD00132"/>
    <d v="2025-03-16T00:00:00"/>
    <x v="0"/>
    <x v="0"/>
    <x v="1"/>
    <n v="211"/>
    <n v="11.63"/>
    <n v="2453.9299999999998"/>
    <n v="1483.95"/>
    <n v="969.98"/>
    <x v="4"/>
  </r>
  <r>
    <s v="ORD00133"/>
    <d v="2025-01-27T00:00:00"/>
    <x v="5"/>
    <x v="1"/>
    <x v="5"/>
    <n v="40"/>
    <n v="15.52"/>
    <n v="620.79999999999995"/>
    <n v="428.31"/>
    <n v="192.49"/>
    <x v="10"/>
  </r>
  <r>
    <s v="ORD00134"/>
    <d v="2025-02-27T00:00:00"/>
    <x v="2"/>
    <x v="2"/>
    <x v="3"/>
    <n v="50"/>
    <n v="37.950000000000003"/>
    <n v="1897.5"/>
    <n v="1263.45"/>
    <n v="634.04999999999995"/>
    <x v="2"/>
  </r>
  <r>
    <s v="ORD00135"/>
    <d v="2025-08-28T00:00:00"/>
    <x v="4"/>
    <x v="1"/>
    <x v="1"/>
    <n v="26"/>
    <n v="19.350000000000001"/>
    <n v="503.1"/>
    <n v="374.85"/>
    <n v="128.25"/>
    <x v="6"/>
  </r>
  <r>
    <s v="ORD00136"/>
    <d v="2025-03-28T00:00:00"/>
    <x v="4"/>
    <x v="1"/>
    <x v="4"/>
    <n v="65"/>
    <n v="10.09"/>
    <n v="655.85"/>
    <n v="430.21"/>
    <n v="225.64"/>
    <x v="4"/>
  </r>
  <r>
    <s v="ORD00137"/>
    <d v="2025-10-15T00:00:00"/>
    <x v="4"/>
    <x v="1"/>
    <x v="4"/>
    <n v="116"/>
    <n v="21.4"/>
    <n v="2482.4"/>
    <n v="1871.1"/>
    <n v="611.29999999999995"/>
    <x v="1"/>
  </r>
  <r>
    <s v="ORD00138"/>
    <d v="2025-01-26T00:00:00"/>
    <x v="3"/>
    <x v="0"/>
    <x v="0"/>
    <n v="252"/>
    <n v="15.87"/>
    <n v="3999.24"/>
    <n v="2832.68"/>
    <n v="1166.56"/>
    <x v="10"/>
  </r>
  <r>
    <s v="ORD00139"/>
    <d v="2025-07-06T00:00:00"/>
    <x v="5"/>
    <x v="1"/>
    <x v="4"/>
    <n v="252"/>
    <n v="10.91"/>
    <n v="2749.32"/>
    <n v="1875.48"/>
    <n v="873.84"/>
    <x v="8"/>
  </r>
  <r>
    <s v="ORD00140"/>
    <d v="2025-07-12T00:00:00"/>
    <x v="1"/>
    <x v="1"/>
    <x v="2"/>
    <n v="27"/>
    <n v="23.92"/>
    <n v="645.84"/>
    <n v="491.27"/>
    <n v="154.57"/>
    <x v="8"/>
  </r>
  <r>
    <s v="ORD00141"/>
    <d v="2025-02-02T00:00:00"/>
    <x v="0"/>
    <x v="0"/>
    <x v="0"/>
    <n v="183"/>
    <n v="20.89"/>
    <n v="3822.87"/>
    <n v="2549.83"/>
    <n v="1273.04"/>
    <x v="2"/>
  </r>
  <r>
    <s v="ORD00142"/>
    <d v="2025-12-20T00:00:00"/>
    <x v="5"/>
    <x v="2"/>
    <x v="5"/>
    <n v="172"/>
    <n v="37.729999999999997"/>
    <n v="6489.56"/>
    <n v="4279.74"/>
    <n v="2209.8200000000002"/>
    <x v="5"/>
  </r>
  <r>
    <s v="ORD00143"/>
    <d v="2025-02-03T00:00:00"/>
    <x v="5"/>
    <x v="1"/>
    <x v="1"/>
    <n v="22"/>
    <n v="34.78"/>
    <n v="765.16"/>
    <n v="475.51"/>
    <n v="289.64999999999998"/>
    <x v="2"/>
  </r>
  <r>
    <s v="ORD00144"/>
    <d v="2025-05-09T00:00:00"/>
    <x v="3"/>
    <x v="0"/>
    <x v="4"/>
    <n v="230"/>
    <n v="34.44"/>
    <n v="7921.2"/>
    <n v="4962.96"/>
    <n v="2958.24"/>
    <x v="11"/>
  </r>
  <r>
    <s v="ORD00145"/>
    <d v="2025-06-05T00:00:00"/>
    <x v="4"/>
    <x v="1"/>
    <x v="0"/>
    <n v="87"/>
    <n v="28.22"/>
    <n v="2455.14"/>
    <n v="1634.04"/>
    <n v="821.1"/>
    <x v="0"/>
  </r>
  <r>
    <s v="ORD00146"/>
    <d v="2025-11-02T00:00:00"/>
    <x v="2"/>
    <x v="0"/>
    <x v="1"/>
    <n v="50"/>
    <n v="25.36"/>
    <n v="1268"/>
    <n v="860.13"/>
    <n v="407.87"/>
    <x v="3"/>
  </r>
  <r>
    <s v="ORD00147"/>
    <d v="2025-02-03T00:00:00"/>
    <x v="2"/>
    <x v="1"/>
    <x v="4"/>
    <n v="27"/>
    <n v="24.45"/>
    <n v="660.15"/>
    <n v="468"/>
    <n v="192.15"/>
    <x v="2"/>
  </r>
  <r>
    <s v="ORD00148"/>
    <d v="2025-02-06T00:00:00"/>
    <x v="3"/>
    <x v="1"/>
    <x v="5"/>
    <n v="145"/>
    <n v="28.74"/>
    <n v="4167.3"/>
    <n v="2674.02"/>
    <n v="1493.28"/>
    <x v="2"/>
  </r>
  <r>
    <s v="ORD00149"/>
    <d v="2025-08-17T00:00:00"/>
    <x v="0"/>
    <x v="2"/>
    <x v="2"/>
    <n v="98"/>
    <n v="17.03"/>
    <n v="1668.94"/>
    <n v="1140.5"/>
    <n v="528.44000000000005"/>
    <x v="6"/>
  </r>
  <r>
    <s v="ORD00150"/>
    <d v="2025-10-03T00:00:00"/>
    <x v="4"/>
    <x v="2"/>
    <x v="0"/>
    <n v="72"/>
    <n v="33.39"/>
    <n v="2404.08"/>
    <n v="1583.77"/>
    <n v="820.31"/>
    <x v="1"/>
  </r>
  <r>
    <s v="ORD00151"/>
    <d v="2025-07-10T00:00:00"/>
    <x v="2"/>
    <x v="0"/>
    <x v="2"/>
    <n v="140"/>
    <n v="32.14"/>
    <n v="4499.6000000000004"/>
    <n v="2879.02"/>
    <n v="1620.58"/>
    <x v="8"/>
  </r>
  <r>
    <s v="ORD00152"/>
    <d v="2025-05-01T00:00:00"/>
    <x v="2"/>
    <x v="1"/>
    <x v="4"/>
    <n v="88"/>
    <n v="18.440000000000001"/>
    <n v="1622.72"/>
    <n v="1268.18"/>
    <n v="354.54"/>
    <x v="11"/>
  </r>
  <r>
    <s v="ORD00153"/>
    <d v="2025-07-22T00:00:00"/>
    <x v="2"/>
    <x v="2"/>
    <x v="4"/>
    <n v="138"/>
    <n v="39.770000000000003"/>
    <n v="5488.26"/>
    <n v="3849.82"/>
    <n v="1638.44"/>
    <x v="8"/>
  </r>
  <r>
    <s v="ORD00154"/>
    <d v="2025-12-01T00:00:00"/>
    <x v="3"/>
    <x v="0"/>
    <x v="1"/>
    <n v="247"/>
    <n v="39.729999999999997"/>
    <n v="9813.31"/>
    <n v="6088.83"/>
    <n v="3724.48"/>
    <x v="5"/>
  </r>
  <r>
    <s v="ORD00155"/>
    <d v="2025-07-11T00:00:00"/>
    <x v="1"/>
    <x v="0"/>
    <x v="3"/>
    <n v="30"/>
    <n v="36.31"/>
    <n v="1089.3"/>
    <n v="704.32"/>
    <n v="384.98"/>
    <x v="8"/>
  </r>
  <r>
    <s v="ORD00156"/>
    <d v="2025-10-26T00:00:00"/>
    <x v="2"/>
    <x v="1"/>
    <x v="3"/>
    <n v="109"/>
    <n v="37.909999999999997"/>
    <n v="4132.1899999999996"/>
    <n v="2786.94"/>
    <n v="1345.25"/>
    <x v="1"/>
  </r>
  <r>
    <s v="ORD00157"/>
    <d v="2025-05-14T00:00:00"/>
    <x v="0"/>
    <x v="1"/>
    <x v="2"/>
    <n v="13"/>
    <n v="13.17"/>
    <n v="171.21"/>
    <n v="123.14"/>
    <n v="48.07"/>
    <x v="11"/>
  </r>
  <r>
    <s v="ORD00158"/>
    <d v="2025-01-20T00:00:00"/>
    <x v="4"/>
    <x v="0"/>
    <x v="3"/>
    <n v="198"/>
    <n v="20.2"/>
    <n v="3999.6"/>
    <n v="2435.09"/>
    <n v="1564.51"/>
    <x v="10"/>
  </r>
  <r>
    <s v="ORD00159"/>
    <d v="2025-11-30T00:00:00"/>
    <x v="3"/>
    <x v="2"/>
    <x v="0"/>
    <n v="114"/>
    <n v="34.44"/>
    <n v="3926.16"/>
    <n v="2998.67"/>
    <n v="927.49"/>
    <x v="3"/>
  </r>
  <r>
    <s v="ORD00160"/>
    <d v="2025-04-05T00:00:00"/>
    <x v="3"/>
    <x v="2"/>
    <x v="1"/>
    <n v="169"/>
    <n v="12.34"/>
    <n v="2085.46"/>
    <n v="1264.4000000000001"/>
    <n v="821.06"/>
    <x v="7"/>
  </r>
  <r>
    <s v="ORD00161"/>
    <d v="2025-02-02T00:00:00"/>
    <x v="0"/>
    <x v="0"/>
    <x v="5"/>
    <n v="218"/>
    <n v="13.04"/>
    <n v="2842.72"/>
    <n v="1930.38"/>
    <n v="912.34"/>
    <x v="2"/>
  </r>
  <r>
    <s v="ORD00162"/>
    <d v="2025-10-01T00:00:00"/>
    <x v="4"/>
    <x v="1"/>
    <x v="0"/>
    <n v="56"/>
    <n v="29.59"/>
    <n v="1657.04"/>
    <n v="1126.05"/>
    <n v="530.99"/>
    <x v="1"/>
  </r>
  <r>
    <s v="ORD00163"/>
    <d v="2025-12-08T00:00:00"/>
    <x v="5"/>
    <x v="2"/>
    <x v="0"/>
    <n v="167"/>
    <n v="22.54"/>
    <n v="3764.18"/>
    <n v="2297.17"/>
    <n v="1467.01"/>
    <x v="5"/>
  </r>
  <r>
    <s v="ORD00164"/>
    <d v="2025-08-01T00:00:00"/>
    <x v="4"/>
    <x v="2"/>
    <x v="2"/>
    <n v="223"/>
    <n v="10.55"/>
    <n v="2352.65"/>
    <n v="1772.33"/>
    <n v="580.32000000000005"/>
    <x v="6"/>
  </r>
  <r>
    <s v="ORD00165"/>
    <d v="2025-07-20T00:00:00"/>
    <x v="2"/>
    <x v="1"/>
    <x v="4"/>
    <n v="217"/>
    <n v="16.11"/>
    <n v="3495.87"/>
    <n v="2101.63"/>
    <n v="1394.24"/>
    <x v="8"/>
  </r>
  <r>
    <s v="ORD00166"/>
    <d v="2025-02-16T00:00:00"/>
    <x v="2"/>
    <x v="0"/>
    <x v="4"/>
    <n v="217"/>
    <n v="27.33"/>
    <n v="5930.61"/>
    <n v="3990.98"/>
    <n v="1939.63"/>
    <x v="2"/>
  </r>
  <r>
    <s v="ORD00167"/>
    <d v="2025-01-27T00:00:00"/>
    <x v="3"/>
    <x v="0"/>
    <x v="3"/>
    <n v="292"/>
    <n v="14.27"/>
    <n v="4166.84"/>
    <n v="3172.19"/>
    <n v="994.65"/>
    <x v="10"/>
  </r>
  <r>
    <s v="ORD00168"/>
    <d v="2025-11-15T00:00:00"/>
    <x v="4"/>
    <x v="1"/>
    <x v="2"/>
    <n v="199"/>
    <n v="32.119999999999997"/>
    <n v="6391.88"/>
    <n v="4054.61"/>
    <n v="2337.27"/>
    <x v="3"/>
  </r>
  <r>
    <s v="ORD00169"/>
    <d v="2025-09-24T00:00:00"/>
    <x v="3"/>
    <x v="0"/>
    <x v="0"/>
    <n v="97"/>
    <n v="37.76"/>
    <n v="3662.72"/>
    <n v="2277.33"/>
    <n v="1385.39"/>
    <x v="9"/>
  </r>
  <r>
    <s v="ORD00170"/>
    <d v="2025-03-06T00:00:00"/>
    <x v="1"/>
    <x v="2"/>
    <x v="5"/>
    <n v="32"/>
    <n v="39.270000000000003"/>
    <n v="1256.6400000000001"/>
    <n v="875.31"/>
    <n v="381.33"/>
    <x v="4"/>
  </r>
  <r>
    <s v="ORD00171"/>
    <d v="2025-07-18T00:00:00"/>
    <x v="2"/>
    <x v="2"/>
    <x v="2"/>
    <n v="54"/>
    <n v="37.130000000000003"/>
    <n v="2005.02"/>
    <n v="1451.77"/>
    <n v="553.25"/>
    <x v="8"/>
  </r>
  <r>
    <s v="ORD00172"/>
    <d v="2025-11-14T00:00:00"/>
    <x v="3"/>
    <x v="0"/>
    <x v="3"/>
    <n v="217"/>
    <n v="28.44"/>
    <n v="6171.48"/>
    <n v="3944.95"/>
    <n v="2226.5300000000002"/>
    <x v="3"/>
  </r>
  <r>
    <s v="ORD00173"/>
    <d v="2025-04-22T00:00:00"/>
    <x v="3"/>
    <x v="1"/>
    <x v="4"/>
    <n v="31"/>
    <n v="21.99"/>
    <n v="681.69"/>
    <n v="479.62"/>
    <n v="202.07"/>
    <x v="7"/>
  </r>
  <r>
    <s v="ORD00174"/>
    <d v="2025-03-18T00:00:00"/>
    <x v="2"/>
    <x v="0"/>
    <x v="3"/>
    <n v="136"/>
    <n v="39.119999999999997"/>
    <n v="5320.32"/>
    <n v="4060.1"/>
    <n v="1260.22"/>
    <x v="4"/>
  </r>
  <r>
    <s v="ORD00175"/>
    <d v="2025-12-11T00:00:00"/>
    <x v="3"/>
    <x v="2"/>
    <x v="1"/>
    <n v="29"/>
    <n v="30.04"/>
    <n v="871.16"/>
    <n v="579.17999999999995"/>
    <n v="291.98"/>
    <x v="5"/>
  </r>
  <r>
    <s v="ORD00176"/>
    <d v="2025-10-09T00:00:00"/>
    <x v="2"/>
    <x v="1"/>
    <x v="1"/>
    <n v="166"/>
    <n v="29.47"/>
    <n v="4892.0200000000004"/>
    <n v="3236.77"/>
    <n v="1655.25"/>
    <x v="1"/>
  </r>
  <r>
    <s v="ORD00177"/>
    <d v="2025-12-04T00:00:00"/>
    <x v="1"/>
    <x v="0"/>
    <x v="3"/>
    <n v="198"/>
    <n v="23.4"/>
    <n v="4633.2"/>
    <n v="3186.12"/>
    <n v="1447.08"/>
    <x v="5"/>
  </r>
  <r>
    <s v="ORD00178"/>
    <d v="2025-09-08T00:00:00"/>
    <x v="3"/>
    <x v="0"/>
    <x v="1"/>
    <n v="248"/>
    <n v="17.059999999999999"/>
    <n v="4230.88"/>
    <n v="3184.64"/>
    <n v="1046.24"/>
    <x v="9"/>
  </r>
  <r>
    <s v="ORD00179"/>
    <d v="2025-07-24T00:00:00"/>
    <x v="4"/>
    <x v="0"/>
    <x v="1"/>
    <n v="64"/>
    <n v="12.01"/>
    <n v="768.64"/>
    <n v="516.30999999999995"/>
    <n v="252.33"/>
    <x v="8"/>
  </r>
  <r>
    <s v="ORD00180"/>
    <d v="2025-09-16T00:00:00"/>
    <x v="2"/>
    <x v="0"/>
    <x v="5"/>
    <n v="271"/>
    <n v="29.71"/>
    <n v="8051.41"/>
    <n v="4896.3100000000004"/>
    <n v="3155.1"/>
    <x v="9"/>
  </r>
  <r>
    <s v="ORD00181"/>
    <d v="2025-06-10T00:00:00"/>
    <x v="3"/>
    <x v="2"/>
    <x v="2"/>
    <n v="271"/>
    <n v="12.4"/>
    <n v="3360.4"/>
    <n v="2521.6799999999998"/>
    <n v="838.72"/>
    <x v="0"/>
  </r>
  <r>
    <s v="ORD00182"/>
    <d v="2025-01-14T00:00:00"/>
    <x v="1"/>
    <x v="0"/>
    <x v="2"/>
    <n v="43"/>
    <n v="39.880000000000003"/>
    <n v="1714.84"/>
    <n v="1279.99"/>
    <n v="434.85"/>
    <x v="10"/>
  </r>
  <r>
    <s v="ORD00183"/>
    <d v="2025-09-09T00:00:00"/>
    <x v="2"/>
    <x v="2"/>
    <x v="5"/>
    <n v="157"/>
    <n v="38.700000000000003"/>
    <n v="6075.9"/>
    <n v="4758.6899999999996"/>
    <n v="1317.21"/>
    <x v="9"/>
  </r>
  <r>
    <s v="ORD00184"/>
    <d v="2025-04-24T00:00:00"/>
    <x v="4"/>
    <x v="0"/>
    <x v="0"/>
    <n v="43"/>
    <n v="34.99"/>
    <n v="1504.57"/>
    <n v="1086.43"/>
    <n v="418.14"/>
    <x v="7"/>
  </r>
  <r>
    <s v="ORD00185"/>
    <d v="2025-11-11T00:00:00"/>
    <x v="4"/>
    <x v="2"/>
    <x v="1"/>
    <n v="150"/>
    <n v="37.15"/>
    <n v="5572.5"/>
    <n v="3852.16"/>
    <n v="1720.34"/>
    <x v="3"/>
  </r>
  <r>
    <s v="ORD00186"/>
    <d v="2025-04-17T00:00:00"/>
    <x v="4"/>
    <x v="0"/>
    <x v="2"/>
    <n v="144"/>
    <n v="28.48"/>
    <n v="4101.12"/>
    <n v="2655.39"/>
    <n v="1445.73"/>
    <x v="7"/>
  </r>
  <r>
    <s v="ORD00187"/>
    <d v="2025-04-04T00:00:00"/>
    <x v="5"/>
    <x v="1"/>
    <x v="1"/>
    <n v="216"/>
    <n v="14.84"/>
    <n v="3205.44"/>
    <n v="2523.58"/>
    <n v="681.86"/>
    <x v="7"/>
  </r>
  <r>
    <s v="ORD00188"/>
    <d v="2025-03-28T00:00:00"/>
    <x v="5"/>
    <x v="1"/>
    <x v="1"/>
    <n v="145"/>
    <n v="13.45"/>
    <n v="1950.25"/>
    <n v="1377.16"/>
    <n v="573.09"/>
    <x v="4"/>
  </r>
  <r>
    <s v="ORD00189"/>
    <d v="2025-10-12T00:00:00"/>
    <x v="1"/>
    <x v="1"/>
    <x v="3"/>
    <n v="276"/>
    <n v="27.4"/>
    <n v="7562.4"/>
    <n v="5872.26"/>
    <n v="1690.14"/>
    <x v="1"/>
  </r>
  <r>
    <s v="ORD00190"/>
    <d v="2025-11-19T00:00:00"/>
    <x v="3"/>
    <x v="1"/>
    <x v="3"/>
    <n v="211"/>
    <n v="32.14"/>
    <n v="6781.54"/>
    <n v="4572.75"/>
    <n v="2208.79"/>
    <x v="3"/>
  </r>
  <r>
    <s v="ORD00191"/>
    <d v="2025-03-16T00:00:00"/>
    <x v="2"/>
    <x v="0"/>
    <x v="3"/>
    <n v="194"/>
    <n v="19.920000000000002"/>
    <n v="3864.48"/>
    <n v="2381.59"/>
    <n v="1482.89"/>
    <x v="4"/>
  </r>
  <r>
    <s v="ORD00192"/>
    <d v="2025-01-25T00:00:00"/>
    <x v="5"/>
    <x v="2"/>
    <x v="5"/>
    <n v="161"/>
    <n v="34.590000000000003"/>
    <n v="5568.99"/>
    <n v="3623.91"/>
    <n v="1945.08"/>
    <x v="10"/>
  </r>
  <r>
    <s v="ORD00193"/>
    <d v="2025-06-10T00:00:00"/>
    <x v="4"/>
    <x v="2"/>
    <x v="5"/>
    <n v="10"/>
    <n v="32.409999999999997"/>
    <n v="324.10000000000002"/>
    <n v="208.83"/>
    <n v="115.27"/>
    <x v="0"/>
  </r>
  <r>
    <s v="ORD00194"/>
    <d v="2025-08-10T00:00:00"/>
    <x v="2"/>
    <x v="1"/>
    <x v="2"/>
    <n v="223"/>
    <n v="25.38"/>
    <n v="5659.74"/>
    <n v="4409.55"/>
    <n v="1250.19"/>
    <x v="6"/>
  </r>
  <r>
    <s v="ORD00195"/>
    <d v="2025-11-10T00:00:00"/>
    <x v="4"/>
    <x v="1"/>
    <x v="4"/>
    <n v="33"/>
    <n v="10.67"/>
    <n v="352.11"/>
    <n v="211.45"/>
    <n v="140.66"/>
    <x v="3"/>
  </r>
  <r>
    <s v="ORD00196"/>
    <d v="2025-09-25T00:00:00"/>
    <x v="4"/>
    <x v="2"/>
    <x v="2"/>
    <n v="192"/>
    <n v="26.02"/>
    <n v="4995.84"/>
    <n v="3410.4"/>
    <n v="1585.44"/>
    <x v="9"/>
  </r>
  <r>
    <s v="ORD00197"/>
    <d v="2025-04-15T00:00:00"/>
    <x v="2"/>
    <x v="0"/>
    <x v="2"/>
    <n v="197"/>
    <n v="28.72"/>
    <n v="5657.84"/>
    <n v="3932.09"/>
    <n v="1725.75"/>
    <x v="7"/>
  </r>
  <r>
    <s v="ORD00198"/>
    <d v="2025-12-29T00:00:00"/>
    <x v="2"/>
    <x v="2"/>
    <x v="0"/>
    <n v="86"/>
    <n v="23.53"/>
    <n v="2023.58"/>
    <n v="1239.92"/>
    <n v="783.66"/>
    <x v="5"/>
  </r>
  <r>
    <s v="ORD00199"/>
    <d v="2025-07-25T00:00:00"/>
    <x v="0"/>
    <x v="1"/>
    <x v="3"/>
    <n v="145"/>
    <n v="39.01"/>
    <n v="5656.45"/>
    <n v="3457.37"/>
    <n v="2199.08"/>
    <x v="8"/>
  </r>
  <r>
    <s v="ORD00200"/>
    <d v="2025-11-27T00:00:00"/>
    <x v="3"/>
    <x v="0"/>
    <x v="2"/>
    <n v="237"/>
    <n v="28.06"/>
    <n v="6650.22"/>
    <n v="4678.54"/>
    <n v="1971.68"/>
    <x v="3"/>
  </r>
  <r>
    <s v="ORD00201"/>
    <d v="2025-01-01T00:00:00"/>
    <x v="2"/>
    <x v="0"/>
    <x v="2"/>
    <n v="32"/>
    <n v="11.85"/>
    <n v="379.2"/>
    <n v="229.43"/>
    <n v="149.77000000000001"/>
    <x v="10"/>
  </r>
  <r>
    <s v="ORD00202"/>
    <d v="2025-01-30T00:00:00"/>
    <x v="2"/>
    <x v="0"/>
    <x v="1"/>
    <n v="63"/>
    <n v="10.37"/>
    <n v="653.30999999999995"/>
    <n v="463.97"/>
    <n v="189.34"/>
    <x v="10"/>
  </r>
  <r>
    <s v="ORD00203"/>
    <d v="2025-04-13T00:00:00"/>
    <x v="5"/>
    <x v="1"/>
    <x v="3"/>
    <n v="275"/>
    <n v="28.24"/>
    <n v="7766"/>
    <n v="5446.99"/>
    <n v="2319.0100000000002"/>
    <x v="7"/>
  </r>
  <r>
    <s v="ORD00204"/>
    <d v="2025-03-31T00:00:00"/>
    <x v="1"/>
    <x v="2"/>
    <x v="1"/>
    <n v="270"/>
    <n v="19.28"/>
    <n v="5205.6000000000004"/>
    <n v="3435.97"/>
    <n v="1769.63"/>
    <x v="4"/>
  </r>
  <r>
    <s v="ORD00205"/>
    <d v="2025-10-03T00:00:00"/>
    <x v="3"/>
    <x v="0"/>
    <x v="5"/>
    <n v="13"/>
    <n v="21.25"/>
    <n v="276.25"/>
    <n v="189.87"/>
    <n v="86.38"/>
    <x v="1"/>
  </r>
  <r>
    <s v="ORD00206"/>
    <d v="2025-12-02T00:00:00"/>
    <x v="4"/>
    <x v="0"/>
    <x v="5"/>
    <n v="241"/>
    <n v="15.26"/>
    <n v="3677.66"/>
    <n v="2939.63"/>
    <n v="738.03"/>
    <x v="5"/>
  </r>
  <r>
    <s v="ORD00207"/>
    <d v="2025-01-20T00:00:00"/>
    <x v="5"/>
    <x v="1"/>
    <x v="5"/>
    <n v="73"/>
    <n v="20.07"/>
    <n v="1465.11"/>
    <n v="1098.73"/>
    <n v="366.38"/>
    <x v="10"/>
  </r>
  <r>
    <s v="ORD00208"/>
    <d v="2025-01-27T00:00:00"/>
    <x v="5"/>
    <x v="2"/>
    <x v="0"/>
    <n v="146"/>
    <n v="29.08"/>
    <n v="4245.68"/>
    <n v="3124.17"/>
    <n v="1121.51"/>
    <x v="10"/>
  </r>
  <r>
    <s v="ORD00209"/>
    <d v="2025-06-01T00:00:00"/>
    <x v="2"/>
    <x v="1"/>
    <x v="2"/>
    <n v="121"/>
    <n v="12.56"/>
    <n v="1519.76"/>
    <n v="1066.0899999999999"/>
    <n v="453.67"/>
    <x v="0"/>
  </r>
  <r>
    <s v="ORD00210"/>
    <d v="2025-04-14T00:00:00"/>
    <x v="3"/>
    <x v="1"/>
    <x v="3"/>
    <n v="91"/>
    <n v="32.380000000000003"/>
    <n v="2946.58"/>
    <n v="1960.58"/>
    <n v="986"/>
    <x v="7"/>
  </r>
  <r>
    <s v="ORD00211"/>
    <d v="2025-05-03T00:00:00"/>
    <x v="5"/>
    <x v="2"/>
    <x v="3"/>
    <n v="204"/>
    <n v="37.229999999999997"/>
    <n v="7594.92"/>
    <n v="5514.97"/>
    <n v="2079.9499999999998"/>
    <x v="11"/>
  </r>
  <r>
    <s v="ORD00212"/>
    <d v="2025-08-29T00:00:00"/>
    <x v="1"/>
    <x v="1"/>
    <x v="5"/>
    <n v="251"/>
    <n v="35.19"/>
    <n v="8832.69"/>
    <n v="6531.98"/>
    <n v="2300.71"/>
    <x v="6"/>
  </r>
  <r>
    <s v="ORD00213"/>
    <d v="2025-04-30T00:00:00"/>
    <x v="0"/>
    <x v="0"/>
    <x v="3"/>
    <n v="167"/>
    <n v="33.68"/>
    <n v="5624.56"/>
    <n v="3815.21"/>
    <n v="1809.35"/>
    <x v="7"/>
  </r>
  <r>
    <s v="ORD00214"/>
    <d v="2025-03-29T00:00:00"/>
    <x v="0"/>
    <x v="0"/>
    <x v="0"/>
    <n v="84"/>
    <n v="10.99"/>
    <n v="923.16"/>
    <n v="574.55999999999995"/>
    <n v="348.6"/>
    <x v="4"/>
  </r>
  <r>
    <s v="ORD00215"/>
    <d v="2025-03-14T00:00:00"/>
    <x v="5"/>
    <x v="2"/>
    <x v="4"/>
    <n v="24"/>
    <n v="10.93"/>
    <n v="262.32"/>
    <n v="164.65"/>
    <n v="97.67"/>
    <x v="4"/>
  </r>
  <r>
    <s v="ORD00216"/>
    <d v="2025-12-23T00:00:00"/>
    <x v="0"/>
    <x v="1"/>
    <x v="2"/>
    <n v="44"/>
    <n v="32.1"/>
    <n v="1412.4"/>
    <n v="866.02"/>
    <n v="546.38"/>
    <x v="5"/>
  </r>
  <r>
    <s v="ORD00217"/>
    <d v="2025-10-01T00:00:00"/>
    <x v="5"/>
    <x v="1"/>
    <x v="4"/>
    <n v="43"/>
    <n v="36.39"/>
    <n v="1564.77"/>
    <n v="1175.3800000000001"/>
    <n v="389.39"/>
    <x v="1"/>
  </r>
  <r>
    <s v="ORD00218"/>
    <d v="2025-05-07T00:00:00"/>
    <x v="5"/>
    <x v="0"/>
    <x v="5"/>
    <n v="115"/>
    <n v="16.09"/>
    <n v="1850.35"/>
    <n v="1122.74"/>
    <n v="727.61"/>
    <x v="11"/>
  </r>
  <r>
    <s v="ORD00219"/>
    <d v="2025-11-20T00:00:00"/>
    <x v="5"/>
    <x v="0"/>
    <x v="0"/>
    <n v="157"/>
    <n v="24.31"/>
    <n v="3816.67"/>
    <n v="2391.2600000000002"/>
    <n v="1425.41"/>
    <x v="3"/>
  </r>
  <r>
    <s v="ORD00220"/>
    <d v="2025-06-13T00:00:00"/>
    <x v="4"/>
    <x v="1"/>
    <x v="4"/>
    <n v="182"/>
    <n v="22.71"/>
    <n v="4133.22"/>
    <n v="2497.2199999999998"/>
    <n v="1636"/>
    <x v="0"/>
  </r>
  <r>
    <s v="ORD00221"/>
    <d v="2025-07-08T00:00:00"/>
    <x v="3"/>
    <x v="1"/>
    <x v="3"/>
    <n v="174"/>
    <n v="33.08"/>
    <n v="5755.92"/>
    <n v="4146.57"/>
    <n v="1609.35"/>
    <x v="8"/>
  </r>
  <r>
    <s v="ORD00222"/>
    <d v="2025-01-16T00:00:00"/>
    <x v="1"/>
    <x v="1"/>
    <x v="1"/>
    <n v="221"/>
    <n v="10.94"/>
    <n v="2417.7399999999998"/>
    <n v="1701.42"/>
    <n v="716.32"/>
    <x v="10"/>
  </r>
  <r>
    <s v="ORD00223"/>
    <d v="2025-12-27T00:00:00"/>
    <x v="1"/>
    <x v="2"/>
    <x v="0"/>
    <n v="34"/>
    <n v="26.14"/>
    <n v="888.76"/>
    <n v="571.75"/>
    <n v="317.01"/>
    <x v="5"/>
  </r>
  <r>
    <s v="ORD00224"/>
    <d v="2025-03-29T00:00:00"/>
    <x v="1"/>
    <x v="0"/>
    <x v="0"/>
    <n v="233"/>
    <n v="10.039999999999999"/>
    <n v="2339.3200000000002"/>
    <n v="1498.12"/>
    <n v="841.2"/>
    <x v="4"/>
  </r>
  <r>
    <s v="ORD00225"/>
    <d v="2025-09-09T00:00:00"/>
    <x v="2"/>
    <x v="1"/>
    <x v="3"/>
    <n v="58"/>
    <n v="24.74"/>
    <n v="1434.92"/>
    <n v="1089.6099999999999"/>
    <n v="345.31"/>
    <x v="9"/>
  </r>
  <r>
    <s v="ORD00226"/>
    <d v="2025-06-27T00:00:00"/>
    <x v="4"/>
    <x v="0"/>
    <x v="5"/>
    <n v="273"/>
    <n v="17.82"/>
    <n v="4864.8599999999997"/>
    <n v="3837.27"/>
    <n v="1027.5899999999999"/>
    <x v="0"/>
  </r>
  <r>
    <s v="ORD00227"/>
    <d v="2025-04-29T00:00:00"/>
    <x v="1"/>
    <x v="1"/>
    <x v="5"/>
    <n v="265"/>
    <n v="14.97"/>
    <n v="3967.05"/>
    <n v="3125.01"/>
    <n v="842.04"/>
    <x v="7"/>
  </r>
  <r>
    <s v="ORD00228"/>
    <d v="2025-10-15T00:00:00"/>
    <x v="3"/>
    <x v="1"/>
    <x v="5"/>
    <n v="63"/>
    <n v="28.84"/>
    <n v="1816.92"/>
    <n v="1219.3800000000001"/>
    <n v="597.54"/>
    <x v="1"/>
  </r>
  <r>
    <s v="ORD00229"/>
    <d v="2025-02-14T00:00:00"/>
    <x v="2"/>
    <x v="1"/>
    <x v="0"/>
    <n v="226"/>
    <n v="36.65"/>
    <n v="8282.9"/>
    <n v="5011.4399999999996"/>
    <n v="3271.46"/>
    <x v="2"/>
  </r>
  <r>
    <s v="ORD00230"/>
    <d v="2025-08-08T00:00:00"/>
    <x v="5"/>
    <x v="0"/>
    <x v="1"/>
    <n v="289"/>
    <n v="25.04"/>
    <n v="7236.56"/>
    <n v="4890.91"/>
    <n v="2345.65"/>
    <x v="6"/>
  </r>
  <r>
    <s v="ORD00231"/>
    <d v="2025-03-06T00:00:00"/>
    <x v="0"/>
    <x v="2"/>
    <x v="4"/>
    <n v="282"/>
    <n v="27.82"/>
    <n v="7845.24"/>
    <n v="5788.59"/>
    <n v="2056.65"/>
    <x v="4"/>
  </r>
  <r>
    <s v="ORD00232"/>
    <d v="2025-06-28T00:00:00"/>
    <x v="3"/>
    <x v="2"/>
    <x v="3"/>
    <n v="177"/>
    <n v="25.65"/>
    <n v="4540.05"/>
    <n v="3512.18"/>
    <n v="1027.8699999999999"/>
    <x v="0"/>
  </r>
  <r>
    <s v="ORD00233"/>
    <d v="2025-06-15T00:00:00"/>
    <x v="4"/>
    <x v="2"/>
    <x v="2"/>
    <n v="96"/>
    <n v="23.89"/>
    <n v="2293.44"/>
    <n v="1692.13"/>
    <n v="601.30999999999995"/>
    <x v="0"/>
  </r>
  <r>
    <s v="ORD00234"/>
    <d v="2025-03-06T00:00:00"/>
    <x v="2"/>
    <x v="2"/>
    <x v="2"/>
    <n v="181"/>
    <n v="23.86"/>
    <n v="4318.66"/>
    <n v="3355.71"/>
    <n v="962.95"/>
    <x v="4"/>
  </r>
  <r>
    <s v="ORD00235"/>
    <d v="2025-05-17T00:00:00"/>
    <x v="0"/>
    <x v="0"/>
    <x v="5"/>
    <n v="164"/>
    <n v="32.64"/>
    <n v="5352.96"/>
    <n v="4096.6499999999996"/>
    <n v="1256.31"/>
    <x v="11"/>
  </r>
  <r>
    <s v="ORD00236"/>
    <d v="2025-03-21T00:00:00"/>
    <x v="4"/>
    <x v="0"/>
    <x v="2"/>
    <n v="136"/>
    <n v="31.69"/>
    <n v="4309.84"/>
    <n v="3105.58"/>
    <n v="1204.26"/>
    <x v="4"/>
  </r>
  <r>
    <s v="ORD00237"/>
    <d v="2025-06-17T00:00:00"/>
    <x v="1"/>
    <x v="0"/>
    <x v="5"/>
    <n v="106"/>
    <n v="17.760000000000002"/>
    <n v="1882.56"/>
    <n v="1489.09"/>
    <n v="393.47"/>
    <x v="0"/>
  </r>
  <r>
    <s v="ORD00238"/>
    <d v="2025-02-22T00:00:00"/>
    <x v="4"/>
    <x v="2"/>
    <x v="0"/>
    <n v="110"/>
    <n v="21.53"/>
    <n v="2368.3000000000002"/>
    <n v="1886.98"/>
    <n v="481.32"/>
    <x v="2"/>
  </r>
  <r>
    <s v="ORD00239"/>
    <d v="2025-08-11T00:00:00"/>
    <x v="1"/>
    <x v="1"/>
    <x v="2"/>
    <n v="150"/>
    <n v="15.89"/>
    <n v="2383.5"/>
    <n v="1734.23"/>
    <n v="649.27"/>
    <x v="6"/>
  </r>
  <r>
    <s v="ORD00240"/>
    <d v="2025-07-18T00:00:00"/>
    <x v="3"/>
    <x v="2"/>
    <x v="2"/>
    <n v="247"/>
    <n v="11.02"/>
    <n v="2721.94"/>
    <n v="1850.39"/>
    <n v="871.55"/>
    <x v="8"/>
  </r>
  <r>
    <s v="ORD00241"/>
    <d v="2025-09-14T00:00:00"/>
    <x v="0"/>
    <x v="2"/>
    <x v="1"/>
    <n v="161"/>
    <n v="23.9"/>
    <n v="3847.9"/>
    <n v="2417.88"/>
    <n v="1430.02"/>
    <x v="9"/>
  </r>
  <r>
    <s v="ORD00242"/>
    <d v="2025-01-03T00:00:00"/>
    <x v="0"/>
    <x v="2"/>
    <x v="5"/>
    <n v="134"/>
    <n v="37.24"/>
    <n v="4990.16"/>
    <n v="3423.28"/>
    <n v="1566.88"/>
    <x v="10"/>
  </r>
  <r>
    <s v="ORD00243"/>
    <d v="2025-11-28T00:00:00"/>
    <x v="5"/>
    <x v="2"/>
    <x v="5"/>
    <n v="225"/>
    <n v="35.380000000000003"/>
    <n v="7960.5"/>
    <n v="5839.66"/>
    <n v="2120.84"/>
    <x v="3"/>
  </r>
  <r>
    <s v="ORD00244"/>
    <d v="2025-10-26T00:00:00"/>
    <x v="3"/>
    <x v="1"/>
    <x v="0"/>
    <n v="127"/>
    <n v="30.39"/>
    <n v="3859.53"/>
    <n v="2810.93"/>
    <n v="1048.5999999999999"/>
    <x v="1"/>
  </r>
  <r>
    <s v="ORD00245"/>
    <d v="2025-05-14T00:00:00"/>
    <x v="3"/>
    <x v="2"/>
    <x v="5"/>
    <n v="60"/>
    <n v="36.840000000000003"/>
    <n v="2210.4"/>
    <n v="1433.4"/>
    <n v="777"/>
    <x v="11"/>
  </r>
  <r>
    <s v="ORD00246"/>
    <d v="2025-11-19T00:00:00"/>
    <x v="3"/>
    <x v="0"/>
    <x v="3"/>
    <n v="90"/>
    <n v="17.5"/>
    <n v="1575"/>
    <n v="1078.43"/>
    <n v="496.57"/>
    <x v="3"/>
  </r>
  <r>
    <s v="ORD00247"/>
    <d v="2025-07-29T00:00:00"/>
    <x v="2"/>
    <x v="2"/>
    <x v="0"/>
    <n v="275"/>
    <n v="30.26"/>
    <n v="8321.5"/>
    <n v="6541.03"/>
    <n v="1780.47"/>
    <x v="8"/>
  </r>
  <r>
    <s v="ORD00248"/>
    <d v="2025-01-06T00:00:00"/>
    <x v="1"/>
    <x v="0"/>
    <x v="0"/>
    <n v="209"/>
    <n v="34.96"/>
    <n v="7306.64"/>
    <n v="5711.15"/>
    <n v="1595.49"/>
    <x v="10"/>
  </r>
  <r>
    <s v="ORD00249"/>
    <d v="2025-10-06T00:00:00"/>
    <x v="2"/>
    <x v="2"/>
    <x v="0"/>
    <n v="121"/>
    <n v="14.83"/>
    <n v="1794.43"/>
    <n v="1357.23"/>
    <n v="437.2"/>
    <x v="1"/>
  </r>
  <r>
    <s v="ORD00250"/>
    <d v="2025-02-21T00:00:00"/>
    <x v="0"/>
    <x v="0"/>
    <x v="5"/>
    <n v="243"/>
    <n v="26.23"/>
    <n v="6373.89"/>
    <n v="4738.7299999999996"/>
    <n v="1635.16"/>
    <x v="2"/>
  </r>
  <r>
    <s v="ORD00251"/>
    <d v="2025-07-09T00:00:00"/>
    <x v="3"/>
    <x v="0"/>
    <x v="5"/>
    <n v="277"/>
    <n v="20.29"/>
    <n v="5620.33"/>
    <n v="4206.38"/>
    <n v="1413.95"/>
    <x v="8"/>
  </r>
  <r>
    <s v="ORD00252"/>
    <d v="2025-04-05T00:00:00"/>
    <x v="5"/>
    <x v="2"/>
    <x v="0"/>
    <n v="210"/>
    <n v="25.41"/>
    <n v="5336.1"/>
    <n v="4197.05"/>
    <n v="1139.05"/>
    <x v="7"/>
  </r>
  <r>
    <s v="ORD00253"/>
    <d v="2025-11-23T00:00:00"/>
    <x v="1"/>
    <x v="0"/>
    <x v="4"/>
    <n v="38"/>
    <n v="17.57"/>
    <n v="667.66"/>
    <n v="451.58"/>
    <n v="216.08"/>
    <x v="3"/>
  </r>
  <r>
    <s v="ORD00254"/>
    <d v="2025-08-03T00:00:00"/>
    <x v="0"/>
    <x v="1"/>
    <x v="4"/>
    <n v="225"/>
    <n v="28.86"/>
    <n v="6493.5"/>
    <n v="4772.57"/>
    <n v="1720.93"/>
    <x v="6"/>
  </r>
  <r>
    <s v="ORD00255"/>
    <d v="2025-04-25T00:00:00"/>
    <x v="0"/>
    <x v="0"/>
    <x v="1"/>
    <n v="165"/>
    <n v="32.24"/>
    <n v="5319.6"/>
    <n v="4191.7700000000004"/>
    <n v="1127.83"/>
    <x v="7"/>
  </r>
  <r>
    <s v="ORD00256"/>
    <d v="2025-08-25T00:00:00"/>
    <x v="1"/>
    <x v="2"/>
    <x v="2"/>
    <n v="118"/>
    <n v="14.94"/>
    <n v="1762.92"/>
    <n v="1385.45"/>
    <n v="377.47"/>
    <x v="6"/>
  </r>
  <r>
    <s v="ORD00257"/>
    <d v="2025-08-29T00:00:00"/>
    <x v="2"/>
    <x v="1"/>
    <x v="5"/>
    <n v="297"/>
    <n v="31.62"/>
    <n v="9391.14"/>
    <n v="7164.76"/>
    <n v="2226.38"/>
    <x v="6"/>
  </r>
  <r>
    <s v="ORD00258"/>
    <d v="2025-11-24T00:00:00"/>
    <x v="0"/>
    <x v="2"/>
    <x v="2"/>
    <n v="221"/>
    <n v="24.04"/>
    <n v="5312.84"/>
    <n v="3500.46"/>
    <n v="1812.38"/>
    <x v="3"/>
  </r>
  <r>
    <s v="ORD00259"/>
    <d v="2025-08-29T00:00:00"/>
    <x v="5"/>
    <x v="1"/>
    <x v="5"/>
    <n v="191"/>
    <n v="33.51"/>
    <n v="6400.41"/>
    <n v="4135.25"/>
    <n v="2265.16"/>
    <x v="6"/>
  </r>
  <r>
    <s v="ORD00260"/>
    <d v="2025-05-10T00:00:00"/>
    <x v="5"/>
    <x v="1"/>
    <x v="0"/>
    <n v="228"/>
    <n v="30.36"/>
    <n v="6922.08"/>
    <n v="4819.9399999999996"/>
    <n v="2102.14"/>
    <x v="11"/>
  </r>
  <r>
    <s v="ORD00261"/>
    <d v="2025-05-06T00:00:00"/>
    <x v="0"/>
    <x v="2"/>
    <x v="4"/>
    <n v="164"/>
    <n v="19.61"/>
    <n v="3216.04"/>
    <n v="2241.5300000000002"/>
    <n v="974.51"/>
    <x v="11"/>
  </r>
  <r>
    <s v="ORD00262"/>
    <d v="2025-12-04T00:00:00"/>
    <x v="3"/>
    <x v="0"/>
    <x v="4"/>
    <n v="195"/>
    <n v="14.58"/>
    <n v="2843.1"/>
    <n v="1878.25"/>
    <n v="964.85"/>
    <x v="5"/>
  </r>
  <r>
    <s v="ORD00263"/>
    <d v="2025-10-17T00:00:00"/>
    <x v="4"/>
    <x v="2"/>
    <x v="3"/>
    <n v="176"/>
    <n v="33.520000000000003"/>
    <n v="5899.52"/>
    <n v="3705.37"/>
    <n v="2194.15"/>
    <x v="1"/>
  </r>
  <r>
    <s v="ORD00264"/>
    <d v="2025-01-08T00:00:00"/>
    <x v="4"/>
    <x v="1"/>
    <x v="3"/>
    <n v="15"/>
    <n v="16.29"/>
    <n v="244.35"/>
    <n v="150.13"/>
    <n v="94.22"/>
    <x v="10"/>
  </r>
  <r>
    <s v="ORD00265"/>
    <d v="2025-02-21T00:00:00"/>
    <x v="3"/>
    <x v="1"/>
    <x v="2"/>
    <n v="83"/>
    <n v="35.630000000000003"/>
    <n v="2957.29"/>
    <n v="1884.19"/>
    <n v="1073.0999999999999"/>
    <x v="2"/>
  </r>
  <r>
    <s v="ORD00266"/>
    <d v="2025-04-17T00:00:00"/>
    <x v="5"/>
    <x v="2"/>
    <x v="4"/>
    <n v="216"/>
    <n v="33.75"/>
    <n v="7290"/>
    <n v="4618.82"/>
    <n v="2671.18"/>
    <x v="7"/>
  </r>
  <r>
    <s v="ORD00267"/>
    <d v="2025-12-09T00:00:00"/>
    <x v="2"/>
    <x v="1"/>
    <x v="5"/>
    <n v="290"/>
    <n v="33.64"/>
    <n v="9755.6"/>
    <n v="7489.97"/>
    <n v="2265.63"/>
    <x v="5"/>
  </r>
  <r>
    <s v="ORD00268"/>
    <d v="2025-04-20T00:00:00"/>
    <x v="5"/>
    <x v="0"/>
    <x v="3"/>
    <n v="281"/>
    <n v="12.36"/>
    <n v="3473.16"/>
    <n v="2666.89"/>
    <n v="806.27"/>
    <x v="7"/>
  </r>
  <r>
    <s v="ORD00269"/>
    <d v="2025-03-02T00:00:00"/>
    <x v="3"/>
    <x v="1"/>
    <x v="3"/>
    <n v="145"/>
    <n v="22.57"/>
    <n v="3272.65"/>
    <n v="2504.92"/>
    <n v="767.73"/>
    <x v="4"/>
  </r>
  <r>
    <s v="ORD00270"/>
    <d v="2025-01-30T00:00:00"/>
    <x v="3"/>
    <x v="0"/>
    <x v="1"/>
    <n v="257"/>
    <n v="24.01"/>
    <n v="6170.57"/>
    <n v="3880.57"/>
    <n v="2290"/>
    <x v="10"/>
  </r>
  <r>
    <s v="ORD00271"/>
    <d v="2025-03-26T00:00:00"/>
    <x v="2"/>
    <x v="1"/>
    <x v="1"/>
    <n v="286"/>
    <n v="27.99"/>
    <n v="8005.14"/>
    <n v="5979.18"/>
    <n v="2025.96"/>
    <x v="4"/>
  </r>
  <r>
    <s v="ORD00272"/>
    <d v="2025-12-23T00:00:00"/>
    <x v="3"/>
    <x v="1"/>
    <x v="1"/>
    <n v="298"/>
    <n v="24.93"/>
    <n v="7429.14"/>
    <n v="4898.5"/>
    <n v="2530.64"/>
    <x v="5"/>
  </r>
  <r>
    <s v="ORD00273"/>
    <d v="2025-08-03T00:00:00"/>
    <x v="5"/>
    <x v="0"/>
    <x v="4"/>
    <n v="48"/>
    <n v="15.42"/>
    <n v="740.16"/>
    <n v="497.44"/>
    <n v="242.72"/>
    <x v="6"/>
  </r>
  <r>
    <s v="ORD00274"/>
    <d v="2025-11-09T00:00:00"/>
    <x v="4"/>
    <x v="0"/>
    <x v="3"/>
    <n v="33"/>
    <n v="30.48"/>
    <n v="1005.84"/>
    <n v="790.89"/>
    <n v="214.95"/>
    <x v="3"/>
  </r>
  <r>
    <s v="ORD00275"/>
    <d v="2025-09-05T00:00:00"/>
    <x v="2"/>
    <x v="2"/>
    <x v="1"/>
    <n v="258"/>
    <n v="32.72"/>
    <n v="8441.76"/>
    <n v="5309"/>
    <n v="3132.76"/>
    <x v="9"/>
  </r>
  <r>
    <s v="ORD00276"/>
    <d v="2025-11-17T00:00:00"/>
    <x v="4"/>
    <x v="1"/>
    <x v="1"/>
    <n v="74"/>
    <n v="20.16"/>
    <n v="1491.84"/>
    <n v="1152.2"/>
    <n v="339.64"/>
    <x v="3"/>
  </r>
  <r>
    <s v="ORD00277"/>
    <d v="2025-09-27T00:00:00"/>
    <x v="3"/>
    <x v="1"/>
    <x v="1"/>
    <n v="293"/>
    <n v="33.119999999999997"/>
    <n v="9704.16"/>
    <n v="6231.48"/>
    <n v="3472.68"/>
    <x v="9"/>
  </r>
  <r>
    <s v="ORD00278"/>
    <d v="2025-05-09T00:00:00"/>
    <x v="4"/>
    <x v="1"/>
    <x v="1"/>
    <n v="293"/>
    <n v="11.58"/>
    <n v="3392.94"/>
    <n v="2231.98"/>
    <n v="1160.96"/>
    <x v="11"/>
  </r>
  <r>
    <s v="ORD00279"/>
    <d v="2025-06-20T00:00:00"/>
    <x v="4"/>
    <x v="0"/>
    <x v="5"/>
    <n v="267"/>
    <n v="39.53"/>
    <n v="10554.51"/>
    <n v="8175.45"/>
    <n v="2379.06"/>
    <x v="0"/>
  </r>
  <r>
    <s v="ORD00280"/>
    <d v="2025-09-10T00:00:00"/>
    <x v="4"/>
    <x v="0"/>
    <x v="3"/>
    <n v="70"/>
    <n v="19.93"/>
    <n v="1395.1"/>
    <n v="925.54"/>
    <n v="469.56"/>
    <x v="9"/>
  </r>
  <r>
    <s v="ORD00281"/>
    <d v="2025-11-22T00:00:00"/>
    <x v="5"/>
    <x v="2"/>
    <x v="1"/>
    <n v="54"/>
    <n v="33.53"/>
    <n v="1810.62"/>
    <n v="1100.8800000000001"/>
    <n v="709.74"/>
    <x v="3"/>
  </r>
  <r>
    <s v="ORD00282"/>
    <d v="2025-10-07T00:00:00"/>
    <x v="1"/>
    <x v="0"/>
    <x v="1"/>
    <n v="35"/>
    <n v="21.95"/>
    <n v="768.25"/>
    <n v="477.62"/>
    <n v="290.63"/>
    <x v="1"/>
  </r>
  <r>
    <s v="ORD00283"/>
    <d v="2025-11-08T00:00:00"/>
    <x v="0"/>
    <x v="1"/>
    <x v="3"/>
    <n v="40"/>
    <n v="33.67"/>
    <n v="1346.8"/>
    <n v="1053.1500000000001"/>
    <n v="293.64999999999998"/>
    <x v="3"/>
  </r>
  <r>
    <s v="ORD00284"/>
    <d v="2025-03-17T00:00:00"/>
    <x v="3"/>
    <x v="2"/>
    <x v="2"/>
    <n v="52"/>
    <n v="16.38"/>
    <n v="851.76"/>
    <n v="624.67999999999995"/>
    <n v="227.08"/>
    <x v="4"/>
  </r>
  <r>
    <s v="ORD00285"/>
    <d v="2025-02-21T00:00:00"/>
    <x v="1"/>
    <x v="2"/>
    <x v="4"/>
    <n v="102"/>
    <n v="36.08"/>
    <n v="3680.16"/>
    <n v="2518.39"/>
    <n v="1161.77"/>
    <x v="2"/>
  </r>
  <r>
    <s v="ORD00286"/>
    <d v="2025-07-08T00:00:00"/>
    <x v="4"/>
    <x v="1"/>
    <x v="2"/>
    <n v="81"/>
    <n v="33.6"/>
    <n v="2721.6"/>
    <n v="1938.92"/>
    <n v="782.68"/>
    <x v="8"/>
  </r>
  <r>
    <s v="ORD00287"/>
    <d v="2025-08-04T00:00:00"/>
    <x v="5"/>
    <x v="2"/>
    <x v="4"/>
    <n v="27"/>
    <n v="19.55"/>
    <n v="527.85"/>
    <n v="362.18"/>
    <n v="165.67"/>
    <x v="6"/>
  </r>
  <r>
    <s v="ORD00288"/>
    <d v="2025-09-12T00:00:00"/>
    <x v="3"/>
    <x v="2"/>
    <x v="5"/>
    <n v="300"/>
    <n v="25.66"/>
    <n v="7698"/>
    <n v="5888.59"/>
    <n v="1809.41"/>
    <x v="9"/>
  </r>
  <r>
    <s v="ORD00289"/>
    <d v="2025-07-27T00:00:00"/>
    <x v="0"/>
    <x v="2"/>
    <x v="5"/>
    <n v="238"/>
    <n v="12.02"/>
    <n v="2860.76"/>
    <n v="2105.5"/>
    <n v="755.26"/>
    <x v="8"/>
  </r>
  <r>
    <s v="ORD00290"/>
    <d v="2025-03-21T00:00:00"/>
    <x v="1"/>
    <x v="2"/>
    <x v="1"/>
    <n v="253"/>
    <n v="33.1"/>
    <n v="8374.2999999999993"/>
    <n v="5943.75"/>
    <n v="2430.5500000000002"/>
    <x v="4"/>
  </r>
  <r>
    <s v="ORD00291"/>
    <d v="2025-04-19T00:00:00"/>
    <x v="1"/>
    <x v="2"/>
    <x v="5"/>
    <n v="87"/>
    <n v="28.81"/>
    <n v="2506.4699999999998"/>
    <n v="1717.93"/>
    <n v="788.54"/>
    <x v="7"/>
  </r>
  <r>
    <s v="ORD00292"/>
    <d v="2025-03-04T00:00:00"/>
    <x v="3"/>
    <x v="0"/>
    <x v="0"/>
    <n v="55"/>
    <n v="16.55"/>
    <n v="910.25"/>
    <n v="568.24"/>
    <n v="342.01"/>
    <x v="4"/>
  </r>
  <r>
    <s v="ORD00293"/>
    <d v="2025-10-19T00:00:00"/>
    <x v="1"/>
    <x v="1"/>
    <x v="5"/>
    <n v="134"/>
    <n v="23.52"/>
    <n v="3151.68"/>
    <n v="2360.11"/>
    <n v="791.57"/>
    <x v="1"/>
  </r>
  <r>
    <s v="ORD00294"/>
    <d v="2025-12-22T00:00:00"/>
    <x v="5"/>
    <x v="2"/>
    <x v="5"/>
    <n v="84"/>
    <n v="31.89"/>
    <n v="2678.76"/>
    <n v="1652.41"/>
    <n v="1026.3499999999999"/>
    <x v="5"/>
  </r>
  <r>
    <s v="ORD00295"/>
    <d v="2025-09-13T00:00:00"/>
    <x v="1"/>
    <x v="2"/>
    <x v="4"/>
    <n v="245"/>
    <n v="30.09"/>
    <n v="7372.05"/>
    <n v="5735.47"/>
    <n v="1636.58"/>
    <x v="9"/>
  </r>
  <r>
    <s v="ORD00296"/>
    <d v="2025-01-06T00:00:00"/>
    <x v="0"/>
    <x v="0"/>
    <x v="1"/>
    <n v="41"/>
    <n v="10.44"/>
    <n v="428.04"/>
    <n v="312.52999999999997"/>
    <n v="115.51"/>
    <x v="10"/>
  </r>
  <r>
    <s v="ORD00297"/>
    <d v="2025-06-09T00:00:00"/>
    <x v="3"/>
    <x v="2"/>
    <x v="4"/>
    <n v="169"/>
    <n v="31.88"/>
    <n v="5387.72"/>
    <n v="3411.5"/>
    <n v="1976.22"/>
    <x v="0"/>
  </r>
  <r>
    <s v="ORD00298"/>
    <d v="2025-06-11T00:00:00"/>
    <x v="3"/>
    <x v="2"/>
    <x v="2"/>
    <n v="198"/>
    <n v="38.46"/>
    <n v="7615.08"/>
    <n v="5677.45"/>
    <n v="1937.63"/>
    <x v="0"/>
  </r>
  <r>
    <s v="ORD00299"/>
    <d v="2025-03-16T00:00:00"/>
    <x v="5"/>
    <x v="1"/>
    <x v="1"/>
    <n v="69"/>
    <n v="20.9"/>
    <n v="1442.1"/>
    <n v="1051.26"/>
    <n v="390.84"/>
    <x v="4"/>
  </r>
  <r>
    <s v="ORD00300"/>
    <d v="2025-07-17T00:00:00"/>
    <x v="0"/>
    <x v="1"/>
    <x v="0"/>
    <n v="241"/>
    <n v="38.35"/>
    <n v="9242.35"/>
    <n v="6995.76"/>
    <n v="2246.59"/>
    <x v="8"/>
  </r>
  <r>
    <s v="ORD00301"/>
    <d v="2025-05-24T00:00:00"/>
    <x v="0"/>
    <x v="1"/>
    <x v="3"/>
    <n v="41"/>
    <n v="28.66"/>
    <n v="1175.06"/>
    <n v="858.02"/>
    <n v="317.04000000000002"/>
    <x v="11"/>
  </r>
  <r>
    <s v="ORD00302"/>
    <d v="2025-01-08T00:00:00"/>
    <x v="3"/>
    <x v="0"/>
    <x v="1"/>
    <n v="87"/>
    <n v="28.03"/>
    <n v="2438.61"/>
    <n v="1613.68"/>
    <n v="824.93"/>
    <x v="10"/>
  </r>
  <r>
    <s v="ORD00303"/>
    <d v="2025-07-18T00:00:00"/>
    <x v="3"/>
    <x v="1"/>
    <x v="5"/>
    <n v="202"/>
    <n v="28.05"/>
    <n v="5666.1"/>
    <n v="4415.16"/>
    <n v="1250.94"/>
    <x v="8"/>
  </r>
  <r>
    <s v="ORD00304"/>
    <d v="2025-01-01T00:00:00"/>
    <x v="0"/>
    <x v="0"/>
    <x v="0"/>
    <n v="174"/>
    <n v="17.89"/>
    <n v="3112.86"/>
    <n v="2130.75"/>
    <n v="982.11"/>
    <x v="10"/>
  </r>
  <r>
    <s v="ORD00305"/>
    <d v="2025-03-14T00:00:00"/>
    <x v="0"/>
    <x v="2"/>
    <x v="1"/>
    <n v="85"/>
    <n v="18.22"/>
    <n v="1548.7"/>
    <n v="1192.8699999999999"/>
    <n v="355.83"/>
    <x v="4"/>
  </r>
  <r>
    <s v="ORD00306"/>
    <d v="2025-06-27T00:00:00"/>
    <x v="3"/>
    <x v="0"/>
    <x v="5"/>
    <n v="283"/>
    <n v="12.55"/>
    <n v="3551.65"/>
    <n v="2524.2800000000002"/>
    <n v="1027.3699999999999"/>
    <x v="0"/>
  </r>
  <r>
    <s v="ORD00307"/>
    <d v="2025-04-30T00:00:00"/>
    <x v="3"/>
    <x v="2"/>
    <x v="2"/>
    <n v="168"/>
    <n v="28.21"/>
    <n v="4739.28"/>
    <n v="3485.89"/>
    <n v="1253.3900000000001"/>
    <x v="7"/>
  </r>
  <r>
    <s v="ORD00308"/>
    <d v="2025-05-11T00:00:00"/>
    <x v="1"/>
    <x v="2"/>
    <x v="0"/>
    <n v="14"/>
    <n v="33.75"/>
    <n v="472.5"/>
    <n v="326.94"/>
    <n v="145.56"/>
    <x v="11"/>
  </r>
  <r>
    <s v="ORD00309"/>
    <d v="2025-02-02T00:00:00"/>
    <x v="4"/>
    <x v="2"/>
    <x v="0"/>
    <n v="129"/>
    <n v="21.95"/>
    <n v="2831.55"/>
    <n v="1994"/>
    <n v="837.55"/>
    <x v="2"/>
  </r>
  <r>
    <s v="ORD00310"/>
    <d v="2025-09-02T00:00:00"/>
    <x v="2"/>
    <x v="0"/>
    <x v="2"/>
    <n v="269"/>
    <n v="27.68"/>
    <n v="7445.92"/>
    <n v="4749.2299999999996"/>
    <n v="2696.69"/>
    <x v="9"/>
  </r>
  <r>
    <s v="ORD00311"/>
    <d v="2025-12-25T00:00:00"/>
    <x v="3"/>
    <x v="2"/>
    <x v="2"/>
    <n v="158"/>
    <n v="20.88"/>
    <n v="3299.04"/>
    <n v="2351.84"/>
    <n v="947.2"/>
    <x v="5"/>
  </r>
  <r>
    <s v="ORD00312"/>
    <d v="2025-05-07T00:00:00"/>
    <x v="1"/>
    <x v="1"/>
    <x v="5"/>
    <n v="32"/>
    <n v="37.68"/>
    <n v="1205.76"/>
    <n v="842.41"/>
    <n v="363.35"/>
    <x v="11"/>
  </r>
  <r>
    <s v="ORD00313"/>
    <d v="2025-08-26T00:00:00"/>
    <x v="4"/>
    <x v="1"/>
    <x v="3"/>
    <n v="51"/>
    <n v="14.68"/>
    <n v="748.68"/>
    <n v="538.63"/>
    <n v="210.05"/>
    <x v="6"/>
  </r>
  <r>
    <s v="ORD00314"/>
    <d v="2025-11-07T00:00:00"/>
    <x v="0"/>
    <x v="1"/>
    <x v="3"/>
    <n v="20"/>
    <n v="12.82"/>
    <n v="256.39999999999998"/>
    <n v="164.33"/>
    <n v="92.07"/>
    <x v="3"/>
  </r>
  <r>
    <s v="ORD00315"/>
    <d v="2025-10-18T00:00:00"/>
    <x v="3"/>
    <x v="0"/>
    <x v="1"/>
    <n v="119"/>
    <n v="17.850000000000001"/>
    <n v="2124.15"/>
    <n v="1605.51"/>
    <n v="518.64"/>
    <x v="1"/>
  </r>
  <r>
    <s v="ORD00316"/>
    <d v="2025-10-31T00:00:00"/>
    <x v="2"/>
    <x v="0"/>
    <x v="1"/>
    <n v="77"/>
    <n v="17.62"/>
    <n v="1356.74"/>
    <n v="824.32"/>
    <n v="532.41999999999996"/>
    <x v="1"/>
  </r>
  <r>
    <s v="ORD00317"/>
    <d v="2025-02-12T00:00:00"/>
    <x v="5"/>
    <x v="1"/>
    <x v="1"/>
    <n v="24"/>
    <n v="11.53"/>
    <n v="276.72000000000003"/>
    <n v="196.88"/>
    <n v="79.84"/>
    <x v="2"/>
  </r>
  <r>
    <s v="ORD00318"/>
    <d v="2025-02-02T00:00:00"/>
    <x v="1"/>
    <x v="1"/>
    <x v="0"/>
    <n v="213"/>
    <n v="37.659999999999997"/>
    <n v="8021.58"/>
    <n v="5946.2"/>
    <n v="2075.38"/>
    <x v="2"/>
  </r>
  <r>
    <s v="ORD00319"/>
    <d v="2025-10-17T00:00:00"/>
    <x v="5"/>
    <x v="2"/>
    <x v="1"/>
    <n v="129"/>
    <n v="29.22"/>
    <n v="3769.38"/>
    <n v="2982.65"/>
    <n v="786.73"/>
    <x v="1"/>
  </r>
  <r>
    <s v="ORD00320"/>
    <d v="2025-04-04T00:00:00"/>
    <x v="2"/>
    <x v="2"/>
    <x v="2"/>
    <n v="239"/>
    <n v="35.49"/>
    <n v="8482.11"/>
    <n v="5718.49"/>
    <n v="2763.62"/>
    <x v="7"/>
  </r>
  <r>
    <s v="ORD00321"/>
    <d v="2025-03-30T00:00:00"/>
    <x v="1"/>
    <x v="2"/>
    <x v="4"/>
    <n v="29"/>
    <n v="38.25"/>
    <n v="1109.25"/>
    <n v="874.35"/>
    <n v="234.9"/>
    <x v="4"/>
  </r>
  <r>
    <s v="ORD00322"/>
    <d v="2025-01-25T00:00:00"/>
    <x v="5"/>
    <x v="1"/>
    <x v="4"/>
    <n v="142"/>
    <n v="33.590000000000003"/>
    <n v="4769.78"/>
    <n v="3538.8"/>
    <n v="1230.98"/>
    <x v="10"/>
  </r>
  <r>
    <s v="ORD00323"/>
    <d v="2025-02-21T00:00:00"/>
    <x v="2"/>
    <x v="2"/>
    <x v="5"/>
    <n v="84"/>
    <n v="19.53"/>
    <n v="1640.52"/>
    <n v="986.21"/>
    <n v="654.30999999999995"/>
    <x v="2"/>
  </r>
  <r>
    <s v="ORD00324"/>
    <d v="2025-06-02T00:00:00"/>
    <x v="4"/>
    <x v="1"/>
    <x v="0"/>
    <n v="235"/>
    <n v="32.74"/>
    <n v="7693.9"/>
    <n v="4778.5600000000004"/>
    <n v="2915.34"/>
    <x v="0"/>
  </r>
  <r>
    <s v="ORD00325"/>
    <d v="2025-07-19T00:00:00"/>
    <x v="3"/>
    <x v="0"/>
    <x v="2"/>
    <n v="73"/>
    <n v="21.25"/>
    <n v="1551.25"/>
    <n v="1048.54"/>
    <n v="502.71"/>
    <x v="8"/>
  </r>
  <r>
    <s v="ORD00326"/>
    <d v="2025-12-13T00:00:00"/>
    <x v="1"/>
    <x v="0"/>
    <x v="2"/>
    <n v="16"/>
    <n v="24.04"/>
    <n v="384.64"/>
    <n v="300.99"/>
    <n v="83.65"/>
    <x v="5"/>
  </r>
  <r>
    <s v="ORD00327"/>
    <d v="2025-02-09T00:00:00"/>
    <x v="3"/>
    <x v="0"/>
    <x v="1"/>
    <n v="201"/>
    <n v="36.659999999999997"/>
    <n v="7368.66"/>
    <n v="4627.17"/>
    <n v="2741.49"/>
    <x v="2"/>
  </r>
  <r>
    <s v="ORD00328"/>
    <d v="2025-01-12T00:00:00"/>
    <x v="2"/>
    <x v="1"/>
    <x v="4"/>
    <n v="48"/>
    <n v="23.57"/>
    <n v="1131.3599999999999"/>
    <n v="755.7"/>
    <n v="375.66"/>
    <x v="10"/>
  </r>
  <r>
    <s v="ORD00329"/>
    <d v="2025-11-18T00:00:00"/>
    <x v="1"/>
    <x v="0"/>
    <x v="5"/>
    <n v="197"/>
    <n v="14.28"/>
    <n v="2813.16"/>
    <n v="1812.6"/>
    <n v="1000.56"/>
    <x v="3"/>
  </r>
  <r>
    <s v="ORD00330"/>
    <d v="2025-08-20T00:00:00"/>
    <x v="2"/>
    <x v="1"/>
    <x v="1"/>
    <n v="293"/>
    <n v="36.68"/>
    <n v="10747.24"/>
    <n v="7391.89"/>
    <n v="3355.35"/>
    <x v="6"/>
  </r>
  <r>
    <s v="ORD00331"/>
    <d v="2025-07-30T00:00:00"/>
    <x v="4"/>
    <x v="1"/>
    <x v="2"/>
    <n v="136"/>
    <n v="14.67"/>
    <n v="1995.12"/>
    <n v="1305.25"/>
    <n v="689.87"/>
    <x v="8"/>
  </r>
  <r>
    <s v="ORD00332"/>
    <d v="2025-05-14T00:00:00"/>
    <x v="3"/>
    <x v="0"/>
    <x v="2"/>
    <n v="261"/>
    <n v="13.28"/>
    <n v="3466.08"/>
    <n v="2395.88"/>
    <n v="1070.2"/>
    <x v="11"/>
  </r>
  <r>
    <s v="ORD00333"/>
    <d v="2025-09-20T00:00:00"/>
    <x v="2"/>
    <x v="2"/>
    <x v="1"/>
    <n v="39"/>
    <n v="28.93"/>
    <n v="1128.27"/>
    <n v="854.69"/>
    <n v="273.58"/>
    <x v="9"/>
  </r>
  <r>
    <s v="ORD00334"/>
    <d v="2025-05-27T00:00:00"/>
    <x v="4"/>
    <x v="1"/>
    <x v="0"/>
    <n v="71"/>
    <n v="17.73"/>
    <n v="1258.83"/>
    <n v="806.06"/>
    <n v="452.77"/>
    <x v="11"/>
  </r>
  <r>
    <s v="ORD00335"/>
    <d v="2025-05-03T00:00:00"/>
    <x v="2"/>
    <x v="0"/>
    <x v="5"/>
    <n v="131"/>
    <n v="12.93"/>
    <n v="1693.83"/>
    <n v="1114.3499999999999"/>
    <n v="579.48"/>
    <x v="11"/>
  </r>
  <r>
    <s v="ORD00336"/>
    <d v="2025-05-31T00:00:00"/>
    <x v="0"/>
    <x v="1"/>
    <x v="3"/>
    <n v="83"/>
    <n v="39.36"/>
    <n v="3266.88"/>
    <n v="1970.6"/>
    <n v="1296.28"/>
    <x v="11"/>
  </r>
  <r>
    <s v="ORD00337"/>
    <d v="2025-03-13T00:00:00"/>
    <x v="0"/>
    <x v="1"/>
    <x v="2"/>
    <n v="236"/>
    <n v="10.06"/>
    <n v="2374.16"/>
    <n v="1819.67"/>
    <n v="554.49"/>
    <x v="4"/>
  </r>
  <r>
    <s v="ORD00338"/>
    <d v="2025-07-04T00:00:00"/>
    <x v="4"/>
    <x v="2"/>
    <x v="2"/>
    <n v="232"/>
    <n v="11.22"/>
    <n v="2603.04"/>
    <n v="1774.72"/>
    <n v="828.32"/>
    <x v="8"/>
  </r>
  <r>
    <s v="ORD00339"/>
    <d v="2025-03-12T00:00:00"/>
    <x v="2"/>
    <x v="0"/>
    <x v="3"/>
    <n v="102"/>
    <n v="25.65"/>
    <n v="2616.3000000000002"/>
    <n v="1690.35"/>
    <n v="925.95"/>
    <x v="4"/>
  </r>
  <r>
    <s v="ORD00340"/>
    <d v="2025-02-10T00:00:00"/>
    <x v="4"/>
    <x v="0"/>
    <x v="2"/>
    <n v="54"/>
    <n v="36.68"/>
    <n v="1980.72"/>
    <n v="1477.95"/>
    <n v="502.77"/>
    <x v="2"/>
  </r>
  <r>
    <s v="ORD00341"/>
    <d v="2025-03-12T00:00:00"/>
    <x v="1"/>
    <x v="2"/>
    <x v="5"/>
    <n v="108"/>
    <n v="27.49"/>
    <n v="2968.92"/>
    <n v="1901.47"/>
    <n v="1067.45"/>
    <x v="4"/>
  </r>
  <r>
    <s v="ORD00342"/>
    <d v="2025-09-24T00:00:00"/>
    <x v="0"/>
    <x v="1"/>
    <x v="0"/>
    <n v="218"/>
    <n v="35.229999999999997"/>
    <n v="7680.14"/>
    <n v="6015.47"/>
    <n v="1664.67"/>
    <x v="9"/>
  </r>
  <r>
    <s v="ORD00343"/>
    <d v="2025-05-25T00:00:00"/>
    <x v="3"/>
    <x v="0"/>
    <x v="5"/>
    <n v="262"/>
    <n v="12.71"/>
    <n v="3330.02"/>
    <n v="2270.75"/>
    <n v="1059.27"/>
    <x v="11"/>
  </r>
  <r>
    <s v="ORD00344"/>
    <d v="2025-05-17T00:00:00"/>
    <x v="4"/>
    <x v="0"/>
    <x v="2"/>
    <n v="137"/>
    <n v="15.58"/>
    <n v="2134.46"/>
    <n v="1635.69"/>
    <n v="498.77"/>
    <x v="11"/>
  </r>
  <r>
    <s v="ORD00345"/>
    <d v="2025-12-26T00:00:00"/>
    <x v="4"/>
    <x v="2"/>
    <x v="1"/>
    <n v="200"/>
    <n v="27.25"/>
    <n v="5450"/>
    <n v="4205.3"/>
    <n v="1244.7"/>
    <x v="5"/>
  </r>
  <r>
    <s v="ORD00346"/>
    <d v="2025-09-22T00:00:00"/>
    <x v="4"/>
    <x v="2"/>
    <x v="1"/>
    <n v="46"/>
    <n v="13.62"/>
    <n v="626.52"/>
    <n v="465.45"/>
    <n v="161.07"/>
    <x v="9"/>
  </r>
  <r>
    <s v="ORD00347"/>
    <d v="2025-10-23T00:00:00"/>
    <x v="5"/>
    <x v="1"/>
    <x v="1"/>
    <n v="41"/>
    <n v="18.75"/>
    <n v="768.75"/>
    <n v="477.81"/>
    <n v="290.94"/>
    <x v="1"/>
  </r>
  <r>
    <s v="ORD00348"/>
    <d v="2025-09-20T00:00:00"/>
    <x v="1"/>
    <x v="0"/>
    <x v="4"/>
    <n v="23"/>
    <n v="25.92"/>
    <n v="596.16"/>
    <n v="421.76"/>
    <n v="174.4"/>
    <x v="9"/>
  </r>
  <r>
    <s v="ORD00349"/>
    <d v="2025-04-25T00:00:00"/>
    <x v="0"/>
    <x v="0"/>
    <x v="4"/>
    <n v="103"/>
    <n v="15.04"/>
    <n v="1549.12"/>
    <n v="1026.1099999999999"/>
    <n v="523.01"/>
    <x v="7"/>
  </r>
  <r>
    <s v="ORD00350"/>
    <d v="2025-02-19T00:00:00"/>
    <x v="5"/>
    <x v="2"/>
    <x v="1"/>
    <n v="109"/>
    <n v="17.84"/>
    <n v="1944.56"/>
    <n v="1492.38"/>
    <n v="452.18"/>
    <x v="2"/>
  </r>
  <r>
    <s v="ORD00351"/>
    <d v="2025-09-25T00:00:00"/>
    <x v="1"/>
    <x v="2"/>
    <x v="2"/>
    <n v="132"/>
    <n v="31.08"/>
    <n v="4102.5600000000004"/>
    <n v="2545.94"/>
    <n v="1556.62"/>
    <x v="9"/>
  </r>
  <r>
    <s v="ORD00352"/>
    <d v="2025-01-24T00:00:00"/>
    <x v="0"/>
    <x v="1"/>
    <x v="4"/>
    <n v="149"/>
    <n v="13.69"/>
    <n v="2039.81"/>
    <n v="1425.25"/>
    <n v="614.55999999999995"/>
    <x v="10"/>
  </r>
  <r>
    <s v="ORD00353"/>
    <d v="2025-03-04T00:00:00"/>
    <x v="0"/>
    <x v="0"/>
    <x v="2"/>
    <n v="72"/>
    <n v="22.17"/>
    <n v="1596.24"/>
    <n v="1001.47"/>
    <n v="594.77"/>
    <x v="4"/>
  </r>
  <r>
    <s v="ORD00354"/>
    <d v="2025-03-17T00:00:00"/>
    <x v="1"/>
    <x v="2"/>
    <x v="1"/>
    <n v="246"/>
    <n v="32.4"/>
    <n v="7970.4"/>
    <n v="5044.18"/>
    <n v="2926.22"/>
    <x v="4"/>
  </r>
  <r>
    <s v="ORD00355"/>
    <d v="2025-12-22T00:00:00"/>
    <x v="1"/>
    <x v="1"/>
    <x v="4"/>
    <n v="225"/>
    <n v="27.91"/>
    <n v="6279.75"/>
    <n v="4524.92"/>
    <n v="1754.83"/>
    <x v="5"/>
  </r>
  <r>
    <s v="ORD00356"/>
    <d v="2025-07-05T00:00:00"/>
    <x v="5"/>
    <x v="1"/>
    <x v="3"/>
    <n v="183"/>
    <n v="22.02"/>
    <n v="4029.66"/>
    <n v="3093.63"/>
    <n v="936.03"/>
    <x v="8"/>
  </r>
  <r>
    <s v="ORD00357"/>
    <d v="2025-06-14T00:00:00"/>
    <x v="0"/>
    <x v="0"/>
    <x v="5"/>
    <n v="215"/>
    <n v="35.43"/>
    <n v="7617.45"/>
    <n v="4652.0600000000004"/>
    <n v="2965.39"/>
    <x v="0"/>
  </r>
  <r>
    <s v="ORD00358"/>
    <d v="2025-06-30T00:00:00"/>
    <x v="1"/>
    <x v="1"/>
    <x v="4"/>
    <n v="137"/>
    <n v="36.11"/>
    <n v="4947.07"/>
    <n v="3624.34"/>
    <n v="1322.73"/>
    <x v="0"/>
  </r>
  <r>
    <s v="ORD00359"/>
    <d v="2025-09-29T00:00:00"/>
    <x v="0"/>
    <x v="2"/>
    <x v="4"/>
    <n v="105"/>
    <n v="12.08"/>
    <n v="1268.4000000000001"/>
    <n v="870.89"/>
    <n v="397.51"/>
    <x v="9"/>
  </r>
  <r>
    <s v="ORD00360"/>
    <d v="2025-04-26T00:00:00"/>
    <x v="3"/>
    <x v="2"/>
    <x v="4"/>
    <n v="81"/>
    <n v="22.62"/>
    <n v="1832.22"/>
    <n v="1244.83"/>
    <n v="587.39"/>
    <x v="7"/>
  </r>
  <r>
    <s v="ORD00361"/>
    <d v="2025-01-21T00:00:00"/>
    <x v="5"/>
    <x v="2"/>
    <x v="0"/>
    <n v="27"/>
    <n v="35.97"/>
    <n v="971.19"/>
    <n v="703.32"/>
    <n v="267.87"/>
    <x v="10"/>
  </r>
  <r>
    <s v="ORD00362"/>
    <d v="2025-11-18T00:00:00"/>
    <x v="1"/>
    <x v="1"/>
    <x v="4"/>
    <n v="287"/>
    <n v="34.19"/>
    <n v="9812.5300000000007"/>
    <n v="5957.73"/>
    <n v="3854.8"/>
    <x v="3"/>
  </r>
  <r>
    <s v="ORD00363"/>
    <d v="2025-09-24T00:00:00"/>
    <x v="4"/>
    <x v="0"/>
    <x v="0"/>
    <n v="16"/>
    <n v="23.01"/>
    <n v="368.16"/>
    <n v="290.91000000000003"/>
    <n v="77.25"/>
    <x v="9"/>
  </r>
  <r>
    <s v="ORD00364"/>
    <d v="2025-06-27T00:00:00"/>
    <x v="0"/>
    <x v="1"/>
    <x v="4"/>
    <n v="95"/>
    <n v="13.61"/>
    <n v="1292.95"/>
    <n v="929.45"/>
    <n v="363.5"/>
    <x v="0"/>
  </r>
  <r>
    <s v="ORD00365"/>
    <d v="2025-08-27T00:00:00"/>
    <x v="0"/>
    <x v="0"/>
    <x v="0"/>
    <n v="283"/>
    <n v="37.96"/>
    <n v="10742.68"/>
    <n v="7390.91"/>
    <n v="3351.77"/>
    <x v="6"/>
  </r>
  <r>
    <s v="ORD00366"/>
    <d v="2025-07-28T00:00:00"/>
    <x v="5"/>
    <x v="2"/>
    <x v="0"/>
    <n v="157"/>
    <n v="18.22"/>
    <n v="2860.54"/>
    <n v="2137.36"/>
    <n v="723.18"/>
    <x v="8"/>
  </r>
  <r>
    <s v="ORD00367"/>
    <d v="2025-08-21T00:00:00"/>
    <x v="5"/>
    <x v="1"/>
    <x v="1"/>
    <n v="123"/>
    <n v="29.51"/>
    <n v="3629.73"/>
    <n v="2323.89"/>
    <n v="1305.8399999999999"/>
    <x v="6"/>
  </r>
  <r>
    <s v="ORD00368"/>
    <d v="2025-10-08T00:00:00"/>
    <x v="4"/>
    <x v="0"/>
    <x v="2"/>
    <n v="165"/>
    <n v="28.38"/>
    <n v="4682.7"/>
    <n v="3248.83"/>
    <n v="1433.87"/>
    <x v="1"/>
  </r>
  <r>
    <s v="ORD00369"/>
    <d v="2025-06-20T00:00:00"/>
    <x v="0"/>
    <x v="1"/>
    <x v="4"/>
    <n v="123"/>
    <n v="15.66"/>
    <n v="1926.18"/>
    <n v="1366.01"/>
    <n v="560.16999999999996"/>
    <x v="0"/>
  </r>
  <r>
    <s v="ORD00370"/>
    <d v="2025-06-30T00:00:00"/>
    <x v="0"/>
    <x v="1"/>
    <x v="1"/>
    <n v="93"/>
    <n v="35.86"/>
    <n v="3334.98"/>
    <n v="2160.09"/>
    <n v="1174.8900000000001"/>
    <x v="0"/>
  </r>
  <r>
    <s v="ORD00371"/>
    <d v="2025-05-19T00:00:00"/>
    <x v="1"/>
    <x v="0"/>
    <x v="2"/>
    <n v="155"/>
    <n v="36.35"/>
    <n v="5634.25"/>
    <n v="3624.11"/>
    <n v="2010.14"/>
    <x v="11"/>
  </r>
  <r>
    <s v="ORD00372"/>
    <d v="2025-10-10T00:00:00"/>
    <x v="5"/>
    <x v="0"/>
    <x v="3"/>
    <n v="44"/>
    <n v="28.18"/>
    <n v="1239.92"/>
    <n v="830.25"/>
    <n v="409.67"/>
    <x v="1"/>
  </r>
  <r>
    <s v="ORD00373"/>
    <d v="2025-07-18T00:00:00"/>
    <x v="0"/>
    <x v="0"/>
    <x v="5"/>
    <n v="235"/>
    <n v="20.62"/>
    <n v="4845.7"/>
    <n v="3646.72"/>
    <n v="1198.98"/>
    <x v="8"/>
  </r>
  <r>
    <s v="ORD00374"/>
    <d v="2025-03-21T00:00:00"/>
    <x v="5"/>
    <x v="0"/>
    <x v="3"/>
    <n v="223"/>
    <n v="20.11"/>
    <n v="4484.53"/>
    <n v="3006.84"/>
    <n v="1477.69"/>
    <x v="4"/>
  </r>
  <r>
    <s v="ORD00375"/>
    <d v="2025-11-09T00:00:00"/>
    <x v="5"/>
    <x v="2"/>
    <x v="1"/>
    <n v="151"/>
    <n v="34.64"/>
    <n v="5230.6400000000003"/>
    <n v="3680.04"/>
    <n v="1550.6"/>
    <x v="3"/>
  </r>
  <r>
    <s v="ORD00376"/>
    <d v="2025-05-18T00:00:00"/>
    <x v="3"/>
    <x v="2"/>
    <x v="3"/>
    <n v="75"/>
    <n v="22.39"/>
    <n v="1679.25"/>
    <n v="1042.26"/>
    <n v="636.99"/>
    <x v="11"/>
  </r>
  <r>
    <s v="ORD00377"/>
    <d v="2025-03-02T00:00:00"/>
    <x v="2"/>
    <x v="1"/>
    <x v="0"/>
    <n v="264"/>
    <n v="21.92"/>
    <n v="5786.88"/>
    <n v="4621.3100000000004"/>
    <n v="1165.57"/>
    <x v="4"/>
  </r>
  <r>
    <s v="ORD00378"/>
    <d v="2025-11-15T00:00:00"/>
    <x v="3"/>
    <x v="1"/>
    <x v="5"/>
    <n v="66"/>
    <n v="21.39"/>
    <n v="1411.74"/>
    <n v="974.75"/>
    <n v="436.99"/>
    <x v="3"/>
  </r>
  <r>
    <s v="ORD00379"/>
    <d v="2025-06-30T00:00:00"/>
    <x v="0"/>
    <x v="1"/>
    <x v="5"/>
    <n v="159"/>
    <n v="20.59"/>
    <n v="3273.81"/>
    <n v="2308.77"/>
    <n v="965.04"/>
    <x v="0"/>
  </r>
  <r>
    <s v="ORD00380"/>
    <d v="2025-06-14T00:00:00"/>
    <x v="3"/>
    <x v="1"/>
    <x v="1"/>
    <n v="13"/>
    <n v="33.61"/>
    <n v="436.93"/>
    <n v="336.4"/>
    <n v="100.53"/>
    <x v="0"/>
  </r>
  <r>
    <s v="ORD00381"/>
    <d v="2025-06-03T00:00:00"/>
    <x v="3"/>
    <x v="2"/>
    <x v="1"/>
    <n v="104"/>
    <n v="26.11"/>
    <n v="2715.44"/>
    <n v="2065.34"/>
    <n v="650.1"/>
    <x v="0"/>
  </r>
  <r>
    <s v="ORD00382"/>
    <d v="2025-10-25T00:00:00"/>
    <x v="4"/>
    <x v="2"/>
    <x v="2"/>
    <n v="128"/>
    <n v="12.64"/>
    <n v="1617.92"/>
    <n v="1268.5"/>
    <n v="349.42"/>
    <x v="1"/>
  </r>
  <r>
    <s v="ORD00383"/>
    <d v="2025-06-16T00:00:00"/>
    <x v="1"/>
    <x v="0"/>
    <x v="4"/>
    <n v="114"/>
    <n v="39.159999999999997"/>
    <n v="4464.24"/>
    <n v="3474.3"/>
    <n v="989.94"/>
    <x v="0"/>
  </r>
  <r>
    <s v="ORD00384"/>
    <d v="2025-05-12T00:00:00"/>
    <x v="0"/>
    <x v="1"/>
    <x v="3"/>
    <n v="299"/>
    <n v="36.880000000000003"/>
    <n v="11027.12"/>
    <n v="7277.5"/>
    <n v="3749.62"/>
    <x v="11"/>
  </r>
  <r>
    <s v="ORD00385"/>
    <d v="2025-11-14T00:00:00"/>
    <x v="5"/>
    <x v="1"/>
    <x v="1"/>
    <n v="233"/>
    <n v="25.52"/>
    <n v="5946.16"/>
    <n v="4182.84"/>
    <n v="1763.32"/>
    <x v="3"/>
  </r>
  <r>
    <s v="ORD00386"/>
    <d v="2025-08-26T00:00:00"/>
    <x v="3"/>
    <x v="0"/>
    <x v="5"/>
    <n v="193"/>
    <n v="11.22"/>
    <n v="2165.46"/>
    <n v="1592.14"/>
    <n v="573.32000000000005"/>
    <x v="6"/>
  </r>
  <r>
    <s v="ORD00387"/>
    <d v="2025-02-04T00:00:00"/>
    <x v="0"/>
    <x v="1"/>
    <x v="5"/>
    <n v="278"/>
    <n v="16.88"/>
    <n v="4692.6400000000003"/>
    <n v="3199.93"/>
    <n v="1492.71"/>
    <x v="2"/>
  </r>
  <r>
    <s v="ORD00388"/>
    <d v="2025-10-15T00:00:00"/>
    <x v="3"/>
    <x v="1"/>
    <x v="1"/>
    <n v="88"/>
    <n v="36.4"/>
    <n v="3203.2"/>
    <n v="2539.8000000000002"/>
    <n v="663.4"/>
    <x v="1"/>
  </r>
  <r>
    <s v="ORD00389"/>
    <d v="2025-11-16T00:00:00"/>
    <x v="1"/>
    <x v="0"/>
    <x v="0"/>
    <n v="185"/>
    <n v="30.75"/>
    <n v="5688.75"/>
    <n v="4262.54"/>
    <n v="1426.21"/>
    <x v="3"/>
  </r>
  <r>
    <s v="ORD00390"/>
    <d v="2025-06-12T00:00:00"/>
    <x v="0"/>
    <x v="0"/>
    <x v="4"/>
    <n v="197"/>
    <n v="39.35"/>
    <n v="7751.95"/>
    <n v="5931.84"/>
    <n v="1820.11"/>
    <x v="0"/>
  </r>
  <r>
    <s v="ORD00391"/>
    <d v="2025-12-02T00:00:00"/>
    <x v="0"/>
    <x v="1"/>
    <x v="5"/>
    <n v="160"/>
    <n v="30.7"/>
    <n v="4912"/>
    <n v="3753.31"/>
    <n v="1158.69"/>
    <x v="5"/>
  </r>
  <r>
    <s v="ORD00392"/>
    <d v="2025-03-22T00:00:00"/>
    <x v="0"/>
    <x v="0"/>
    <x v="1"/>
    <n v="278"/>
    <n v="18.7"/>
    <n v="5198.6000000000004"/>
    <n v="3651.09"/>
    <n v="1547.51"/>
    <x v="4"/>
  </r>
  <r>
    <s v="ORD00393"/>
    <d v="2025-04-04T00:00:00"/>
    <x v="4"/>
    <x v="2"/>
    <x v="5"/>
    <n v="40"/>
    <n v="28.9"/>
    <n v="1156"/>
    <n v="833.04"/>
    <n v="322.95999999999998"/>
    <x v="7"/>
  </r>
  <r>
    <s v="ORD00394"/>
    <d v="2025-11-22T00:00:00"/>
    <x v="1"/>
    <x v="1"/>
    <x v="5"/>
    <n v="31"/>
    <n v="30.75"/>
    <n v="953.25"/>
    <n v="574"/>
    <n v="379.25"/>
    <x v="3"/>
  </r>
  <r>
    <s v="ORD00395"/>
    <d v="2025-12-20T00:00:00"/>
    <x v="1"/>
    <x v="2"/>
    <x v="4"/>
    <n v="293"/>
    <n v="10.119999999999999"/>
    <n v="2965.16"/>
    <n v="1959.65"/>
    <n v="1005.51"/>
    <x v="5"/>
  </r>
  <r>
    <s v="ORD00396"/>
    <d v="2025-12-09T00:00:00"/>
    <x v="0"/>
    <x v="2"/>
    <x v="0"/>
    <n v="25"/>
    <n v="15.9"/>
    <n v="397.5"/>
    <n v="278.08"/>
    <n v="119.42"/>
    <x v="5"/>
  </r>
  <r>
    <s v="ORD00397"/>
    <d v="2025-11-28T00:00:00"/>
    <x v="2"/>
    <x v="1"/>
    <x v="3"/>
    <n v="282"/>
    <n v="25.43"/>
    <n v="7171.26"/>
    <n v="4508.88"/>
    <n v="2662.38"/>
    <x v="3"/>
  </r>
  <r>
    <s v="ORD00398"/>
    <d v="2025-03-04T00:00:00"/>
    <x v="1"/>
    <x v="0"/>
    <x v="4"/>
    <n v="84"/>
    <n v="14.7"/>
    <n v="1234.8"/>
    <n v="928.45"/>
    <n v="306.35000000000002"/>
    <x v="4"/>
  </r>
  <r>
    <s v="ORD00399"/>
    <d v="2025-02-08T00:00:00"/>
    <x v="3"/>
    <x v="2"/>
    <x v="1"/>
    <n v="97"/>
    <n v="38.44"/>
    <n v="3728.68"/>
    <n v="2602.94"/>
    <n v="1125.74"/>
    <x v="2"/>
  </r>
  <r>
    <s v="ORD00400"/>
    <d v="2025-02-01T00:00:00"/>
    <x v="2"/>
    <x v="2"/>
    <x v="2"/>
    <n v="16"/>
    <n v="30.54"/>
    <n v="488.64"/>
    <n v="349.75"/>
    <n v="138.88999999999999"/>
    <x v="2"/>
  </r>
  <r>
    <s v="ORD00401"/>
    <d v="2025-07-01T00:00:00"/>
    <x v="1"/>
    <x v="2"/>
    <x v="4"/>
    <n v="151"/>
    <n v="15.08"/>
    <n v="2277.08"/>
    <n v="1487.67"/>
    <n v="789.41"/>
    <x v="8"/>
  </r>
  <r>
    <s v="ORD00402"/>
    <d v="2025-06-28T00:00:00"/>
    <x v="1"/>
    <x v="0"/>
    <x v="1"/>
    <n v="108"/>
    <n v="23.5"/>
    <n v="2538"/>
    <n v="1718.56"/>
    <n v="819.44"/>
    <x v="0"/>
  </r>
  <r>
    <s v="ORD00403"/>
    <d v="2025-10-26T00:00:00"/>
    <x v="2"/>
    <x v="0"/>
    <x v="4"/>
    <n v="32"/>
    <n v="23.19"/>
    <n v="742.08"/>
    <n v="537.29"/>
    <n v="204.79"/>
    <x v="1"/>
  </r>
  <r>
    <s v="ORD00404"/>
    <d v="2025-03-23T00:00:00"/>
    <x v="3"/>
    <x v="1"/>
    <x v="1"/>
    <n v="98"/>
    <n v="19.440000000000001"/>
    <n v="1905.12"/>
    <n v="1485.56"/>
    <n v="419.56"/>
    <x v="4"/>
  </r>
  <r>
    <s v="ORD00405"/>
    <d v="2025-11-05T00:00:00"/>
    <x v="1"/>
    <x v="0"/>
    <x v="5"/>
    <n v="139"/>
    <n v="38.799999999999997"/>
    <n v="5393.2"/>
    <n v="3770.44"/>
    <n v="1622.76"/>
    <x v="3"/>
  </r>
  <r>
    <s v="ORD00406"/>
    <d v="2025-07-19T00:00:00"/>
    <x v="5"/>
    <x v="1"/>
    <x v="4"/>
    <n v="123"/>
    <n v="22.4"/>
    <n v="2755.2"/>
    <n v="1872.76"/>
    <n v="882.44"/>
    <x v="8"/>
  </r>
  <r>
    <s v="ORD00407"/>
    <d v="2025-05-05T00:00:00"/>
    <x v="2"/>
    <x v="0"/>
    <x v="0"/>
    <n v="54"/>
    <n v="15.2"/>
    <n v="820.8"/>
    <n v="551.30999999999995"/>
    <n v="269.49"/>
    <x v="11"/>
  </r>
  <r>
    <s v="ORD00408"/>
    <d v="2025-07-22T00:00:00"/>
    <x v="3"/>
    <x v="1"/>
    <x v="1"/>
    <n v="297"/>
    <n v="20.89"/>
    <n v="6204.33"/>
    <n v="4138.3100000000004"/>
    <n v="2066.02"/>
    <x v="8"/>
  </r>
  <r>
    <s v="ORD00409"/>
    <d v="2025-11-30T00:00:00"/>
    <x v="4"/>
    <x v="2"/>
    <x v="2"/>
    <n v="43"/>
    <n v="38.840000000000003"/>
    <n v="1670.12"/>
    <n v="1143.1199999999999"/>
    <n v="527"/>
    <x v="3"/>
  </r>
  <r>
    <s v="ORD00410"/>
    <d v="2025-07-18T00:00:00"/>
    <x v="3"/>
    <x v="0"/>
    <x v="0"/>
    <n v="107"/>
    <n v="24.01"/>
    <n v="2569.0700000000002"/>
    <n v="1718.44"/>
    <n v="850.63"/>
    <x v="8"/>
  </r>
  <r>
    <s v="ORD00411"/>
    <d v="2025-12-07T00:00:00"/>
    <x v="5"/>
    <x v="0"/>
    <x v="4"/>
    <n v="22"/>
    <n v="20.239999999999998"/>
    <n v="445.28"/>
    <n v="281.05"/>
    <n v="164.23"/>
    <x v="5"/>
  </r>
  <r>
    <s v="ORD00412"/>
    <d v="2025-04-11T00:00:00"/>
    <x v="0"/>
    <x v="1"/>
    <x v="1"/>
    <n v="148"/>
    <n v="26.35"/>
    <n v="3899.8"/>
    <n v="2954.07"/>
    <n v="945.73"/>
    <x v="7"/>
  </r>
  <r>
    <s v="ORD00413"/>
    <d v="2025-05-03T00:00:00"/>
    <x v="3"/>
    <x v="1"/>
    <x v="5"/>
    <n v="91"/>
    <n v="21.04"/>
    <n v="1914.64"/>
    <n v="1231.68"/>
    <n v="682.96"/>
    <x v="11"/>
  </r>
  <r>
    <s v="ORD00414"/>
    <d v="2025-10-25T00:00:00"/>
    <x v="2"/>
    <x v="0"/>
    <x v="1"/>
    <n v="116"/>
    <n v="18.920000000000002"/>
    <n v="2194.7199999999998"/>
    <n v="1525.75"/>
    <n v="668.97"/>
    <x v="1"/>
  </r>
  <r>
    <s v="ORD00415"/>
    <d v="2025-12-12T00:00:00"/>
    <x v="0"/>
    <x v="1"/>
    <x v="3"/>
    <n v="77"/>
    <n v="38.26"/>
    <n v="2946.02"/>
    <n v="2355.59"/>
    <n v="590.42999999999995"/>
    <x v="5"/>
  </r>
  <r>
    <s v="ORD00416"/>
    <d v="2025-07-08T00:00:00"/>
    <x v="2"/>
    <x v="0"/>
    <x v="4"/>
    <n v="283"/>
    <n v="17.39"/>
    <n v="4921.37"/>
    <n v="3551.46"/>
    <n v="1369.91"/>
    <x v="8"/>
  </r>
  <r>
    <s v="ORD00417"/>
    <d v="2025-12-14T00:00:00"/>
    <x v="5"/>
    <x v="1"/>
    <x v="4"/>
    <n v="272"/>
    <n v="12.74"/>
    <n v="3465.28"/>
    <n v="2669.55"/>
    <n v="795.73"/>
    <x v="5"/>
  </r>
  <r>
    <s v="ORD00418"/>
    <d v="2025-12-03T00:00:00"/>
    <x v="5"/>
    <x v="0"/>
    <x v="5"/>
    <n v="300"/>
    <n v="14.35"/>
    <n v="4305"/>
    <n v="2595.92"/>
    <n v="1709.08"/>
    <x v="5"/>
  </r>
  <r>
    <s v="ORD00419"/>
    <d v="2025-04-01T00:00:00"/>
    <x v="1"/>
    <x v="0"/>
    <x v="3"/>
    <n v="128"/>
    <n v="19.63"/>
    <n v="2512.64"/>
    <n v="1840.63"/>
    <n v="672.01"/>
    <x v="7"/>
  </r>
  <r>
    <s v="ORD00420"/>
    <d v="2025-07-05T00:00:00"/>
    <x v="5"/>
    <x v="1"/>
    <x v="4"/>
    <n v="266"/>
    <n v="32.75"/>
    <n v="8711.5"/>
    <n v="5562.86"/>
    <n v="3148.64"/>
    <x v="8"/>
  </r>
  <r>
    <s v="ORD00421"/>
    <d v="2025-04-26T00:00:00"/>
    <x v="4"/>
    <x v="1"/>
    <x v="1"/>
    <n v="157"/>
    <n v="13.78"/>
    <n v="2163.46"/>
    <n v="1608.18"/>
    <n v="555.28"/>
    <x v="7"/>
  </r>
  <r>
    <s v="ORD00422"/>
    <d v="2025-08-26T00:00:00"/>
    <x v="4"/>
    <x v="2"/>
    <x v="5"/>
    <n v="77"/>
    <n v="38.1"/>
    <n v="2933.7"/>
    <n v="1863.72"/>
    <n v="1069.98"/>
    <x v="6"/>
  </r>
  <r>
    <s v="ORD00423"/>
    <d v="2025-12-20T00:00:00"/>
    <x v="5"/>
    <x v="2"/>
    <x v="1"/>
    <n v="189"/>
    <n v="36.909999999999997"/>
    <n v="6975.99"/>
    <n v="4220.84"/>
    <n v="2755.15"/>
    <x v="5"/>
  </r>
  <r>
    <s v="ORD00424"/>
    <d v="2025-05-08T00:00:00"/>
    <x v="2"/>
    <x v="1"/>
    <x v="4"/>
    <n v="215"/>
    <n v="20.56"/>
    <n v="4420.3999999999996"/>
    <n v="3208.17"/>
    <n v="1212.23"/>
    <x v="11"/>
  </r>
  <r>
    <s v="ORD00425"/>
    <d v="2025-05-19T00:00:00"/>
    <x v="1"/>
    <x v="2"/>
    <x v="2"/>
    <n v="122"/>
    <n v="31.38"/>
    <n v="3828.36"/>
    <n v="2327.9899999999998"/>
    <n v="1500.37"/>
    <x v="11"/>
  </r>
  <r>
    <s v="ORD00426"/>
    <d v="2025-08-09T00:00:00"/>
    <x v="5"/>
    <x v="0"/>
    <x v="3"/>
    <n v="111"/>
    <n v="32.71"/>
    <n v="3630.81"/>
    <n v="2291.9"/>
    <n v="1338.91"/>
    <x v="6"/>
  </r>
  <r>
    <s v="ORD00427"/>
    <d v="2025-06-09T00:00:00"/>
    <x v="3"/>
    <x v="2"/>
    <x v="3"/>
    <n v="101"/>
    <n v="26.94"/>
    <n v="2720.94"/>
    <n v="1756.45"/>
    <n v="964.49"/>
    <x v="0"/>
  </r>
  <r>
    <s v="ORD00428"/>
    <d v="2025-05-11T00:00:00"/>
    <x v="1"/>
    <x v="0"/>
    <x v="5"/>
    <n v="232"/>
    <n v="30.1"/>
    <n v="6983.2"/>
    <n v="4993.37"/>
    <n v="1989.83"/>
    <x v="11"/>
  </r>
  <r>
    <s v="ORD00429"/>
    <d v="2025-05-27T00:00:00"/>
    <x v="5"/>
    <x v="0"/>
    <x v="2"/>
    <n v="31"/>
    <n v="36.25"/>
    <n v="1123.75"/>
    <n v="805.76"/>
    <n v="317.99"/>
    <x v="11"/>
  </r>
  <r>
    <s v="ORD00430"/>
    <d v="2025-12-15T00:00:00"/>
    <x v="4"/>
    <x v="2"/>
    <x v="4"/>
    <n v="66"/>
    <n v="11.11"/>
    <n v="733.26"/>
    <n v="486.67"/>
    <n v="246.59"/>
    <x v="5"/>
  </r>
  <r>
    <s v="ORD00431"/>
    <d v="2025-08-02T00:00:00"/>
    <x v="2"/>
    <x v="1"/>
    <x v="3"/>
    <n v="211"/>
    <n v="39.94"/>
    <n v="8427.34"/>
    <n v="6093.53"/>
    <n v="2333.81"/>
    <x v="6"/>
  </r>
  <r>
    <s v="ORD00432"/>
    <d v="2025-02-16T00:00:00"/>
    <x v="4"/>
    <x v="2"/>
    <x v="3"/>
    <n v="188"/>
    <n v="38.39"/>
    <n v="7217.32"/>
    <n v="4942.3900000000003"/>
    <n v="2274.9299999999998"/>
    <x v="2"/>
  </r>
  <r>
    <s v="ORD00433"/>
    <d v="2025-12-19T00:00:00"/>
    <x v="2"/>
    <x v="1"/>
    <x v="5"/>
    <n v="241"/>
    <n v="25.26"/>
    <n v="6087.66"/>
    <n v="4476.3599999999997"/>
    <n v="1611.3"/>
    <x v="5"/>
  </r>
  <r>
    <s v="ORD00434"/>
    <d v="2025-09-20T00:00:00"/>
    <x v="5"/>
    <x v="2"/>
    <x v="0"/>
    <n v="75"/>
    <n v="24.69"/>
    <n v="1851.75"/>
    <n v="1181.1600000000001"/>
    <n v="670.59"/>
    <x v="9"/>
  </r>
  <r>
    <s v="ORD00435"/>
    <d v="2025-03-31T00:00:00"/>
    <x v="2"/>
    <x v="2"/>
    <x v="0"/>
    <n v="289"/>
    <n v="14.91"/>
    <n v="4308.99"/>
    <n v="3258.34"/>
    <n v="1050.6500000000001"/>
    <x v="4"/>
  </r>
  <r>
    <s v="ORD00436"/>
    <d v="2025-05-08T00:00:00"/>
    <x v="1"/>
    <x v="0"/>
    <x v="5"/>
    <n v="40"/>
    <n v="15.04"/>
    <n v="601.6"/>
    <n v="402.74"/>
    <n v="198.86"/>
    <x v="11"/>
  </r>
  <r>
    <s v="ORD00437"/>
    <d v="2025-06-09T00:00:00"/>
    <x v="5"/>
    <x v="1"/>
    <x v="2"/>
    <n v="80"/>
    <n v="14.1"/>
    <n v="1128"/>
    <n v="836.29"/>
    <n v="291.70999999999998"/>
    <x v="0"/>
  </r>
  <r>
    <s v="ORD00438"/>
    <d v="2025-12-28T00:00:00"/>
    <x v="2"/>
    <x v="2"/>
    <x v="0"/>
    <n v="133"/>
    <n v="10.18"/>
    <n v="1353.94"/>
    <n v="999.62"/>
    <n v="354.32"/>
    <x v="5"/>
  </r>
  <r>
    <s v="ORD00439"/>
    <d v="2025-12-24T00:00:00"/>
    <x v="0"/>
    <x v="2"/>
    <x v="2"/>
    <n v="163"/>
    <n v="14"/>
    <n v="2282"/>
    <n v="1692.2"/>
    <n v="589.79999999999995"/>
    <x v="5"/>
  </r>
  <r>
    <s v="ORD00440"/>
    <d v="2025-06-20T00:00:00"/>
    <x v="2"/>
    <x v="2"/>
    <x v="5"/>
    <n v="70"/>
    <n v="26.45"/>
    <n v="1851.5"/>
    <n v="1392.52"/>
    <n v="458.98"/>
    <x v="0"/>
  </r>
  <r>
    <s v="ORD00441"/>
    <d v="2025-03-21T00:00:00"/>
    <x v="2"/>
    <x v="0"/>
    <x v="5"/>
    <n v="246"/>
    <n v="35.18"/>
    <n v="8654.2800000000007"/>
    <n v="5895.47"/>
    <n v="2758.81"/>
    <x v="4"/>
  </r>
  <r>
    <s v="ORD00442"/>
    <d v="2025-05-29T00:00:00"/>
    <x v="1"/>
    <x v="1"/>
    <x v="0"/>
    <n v="16"/>
    <n v="20.81"/>
    <n v="332.96"/>
    <n v="213.52"/>
    <n v="119.44"/>
    <x v="11"/>
  </r>
  <r>
    <s v="ORD00443"/>
    <d v="2025-04-11T00:00:00"/>
    <x v="1"/>
    <x v="0"/>
    <x v="0"/>
    <n v="66"/>
    <n v="31.05"/>
    <n v="2049.3000000000002"/>
    <n v="1413.2"/>
    <n v="636.1"/>
    <x v="7"/>
  </r>
  <r>
    <s v="ORD00444"/>
    <d v="2025-08-16T00:00:00"/>
    <x v="0"/>
    <x v="0"/>
    <x v="4"/>
    <n v="249"/>
    <n v="27.08"/>
    <n v="6742.92"/>
    <n v="4436.17"/>
    <n v="2306.75"/>
    <x v="6"/>
  </r>
  <r>
    <s v="ORD00445"/>
    <d v="2025-01-06T00:00:00"/>
    <x v="1"/>
    <x v="2"/>
    <x v="5"/>
    <n v="249"/>
    <n v="39.76"/>
    <n v="9900.24"/>
    <n v="7426.06"/>
    <n v="2474.1799999999998"/>
    <x v="10"/>
  </r>
  <r>
    <s v="ORD00446"/>
    <d v="2025-06-19T00:00:00"/>
    <x v="3"/>
    <x v="1"/>
    <x v="2"/>
    <n v="298"/>
    <n v="17.93"/>
    <n v="5343.14"/>
    <n v="3895.26"/>
    <n v="1447.88"/>
    <x v="0"/>
  </r>
  <r>
    <s v="ORD00447"/>
    <d v="2025-10-06T00:00:00"/>
    <x v="5"/>
    <x v="1"/>
    <x v="5"/>
    <n v="174"/>
    <n v="10.25"/>
    <n v="1783.5"/>
    <n v="1398.11"/>
    <n v="385.39"/>
    <x v="1"/>
  </r>
  <r>
    <s v="ORD00448"/>
    <d v="2025-11-11T00:00:00"/>
    <x v="5"/>
    <x v="0"/>
    <x v="4"/>
    <n v="138"/>
    <n v="29.59"/>
    <n v="4083.42"/>
    <n v="2513.87"/>
    <n v="1569.55"/>
    <x v="3"/>
  </r>
  <r>
    <s v="ORD00449"/>
    <d v="2025-07-22T00:00:00"/>
    <x v="5"/>
    <x v="2"/>
    <x v="5"/>
    <n v="84"/>
    <n v="18.89"/>
    <n v="1586.76"/>
    <n v="1011"/>
    <n v="575.76"/>
    <x v="8"/>
  </r>
  <r>
    <s v="ORD00450"/>
    <d v="2025-03-28T00:00:00"/>
    <x v="5"/>
    <x v="2"/>
    <x v="0"/>
    <n v="62"/>
    <n v="33.54"/>
    <n v="2079.48"/>
    <n v="1593.05"/>
    <n v="486.43"/>
    <x v="4"/>
  </r>
  <r>
    <s v="ORD00451"/>
    <d v="2025-07-14T00:00:00"/>
    <x v="2"/>
    <x v="1"/>
    <x v="2"/>
    <n v="104"/>
    <n v="29.42"/>
    <n v="3059.68"/>
    <n v="2053.81"/>
    <n v="1005.87"/>
    <x v="8"/>
  </r>
  <r>
    <s v="ORD00452"/>
    <d v="2025-10-10T00:00:00"/>
    <x v="1"/>
    <x v="0"/>
    <x v="4"/>
    <n v="199"/>
    <n v="35.130000000000003"/>
    <n v="6990.87"/>
    <n v="4549.03"/>
    <n v="2441.84"/>
    <x v="1"/>
  </r>
  <r>
    <s v="ORD00453"/>
    <d v="2025-10-18T00:00:00"/>
    <x v="3"/>
    <x v="1"/>
    <x v="1"/>
    <n v="216"/>
    <n v="37.159999999999997"/>
    <n v="8026.56"/>
    <n v="6332.85"/>
    <n v="1693.71"/>
    <x v="1"/>
  </r>
  <r>
    <s v="ORD00454"/>
    <d v="2025-03-22T00:00:00"/>
    <x v="2"/>
    <x v="2"/>
    <x v="2"/>
    <n v="163"/>
    <n v="28.08"/>
    <n v="4577.04"/>
    <n v="3319.72"/>
    <n v="1257.32"/>
    <x v="4"/>
  </r>
  <r>
    <s v="ORD00455"/>
    <d v="2025-03-25T00:00:00"/>
    <x v="1"/>
    <x v="0"/>
    <x v="1"/>
    <n v="80"/>
    <n v="23.3"/>
    <n v="1864"/>
    <n v="1479.95"/>
    <n v="384.05"/>
    <x v="4"/>
  </r>
  <r>
    <s v="ORD00456"/>
    <d v="2025-09-03T00:00:00"/>
    <x v="1"/>
    <x v="2"/>
    <x v="3"/>
    <n v="107"/>
    <n v="16.55"/>
    <n v="1770.85"/>
    <n v="1194.43"/>
    <n v="576.41999999999996"/>
    <x v="9"/>
  </r>
  <r>
    <s v="ORD00457"/>
    <d v="2025-08-06T00:00:00"/>
    <x v="0"/>
    <x v="2"/>
    <x v="1"/>
    <n v="83"/>
    <n v="18.5"/>
    <n v="1535.5"/>
    <n v="1124.49"/>
    <n v="411.01"/>
    <x v="6"/>
  </r>
  <r>
    <s v="ORD00458"/>
    <d v="2025-06-23T00:00:00"/>
    <x v="2"/>
    <x v="2"/>
    <x v="2"/>
    <n v="42"/>
    <n v="23.16"/>
    <n v="972.72"/>
    <n v="713.22"/>
    <n v="259.5"/>
    <x v="0"/>
  </r>
  <r>
    <s v="ORD00459"/>
    <d v="2025-07-13T00:00:00"/>
    <x v="5"/>
    <x v="1"/>
    <x v="3"/>
    <n v="161"/>
    <n v="10.130000000000001"/>
    <n v="1630.93"/>
    <n v="1240.8599999999999"/>
    <n v="390.07"/>
    <x v="8"/>
  </r>
  <r>
    <s v="ORD00460"/>
    <d v="2025-04-11T00:00:00"/>
    <x v="3"/>
    <x v="1"/>
    <x v="3"/>
    <n v="250"/>
    <n v="12.55"/>
    <n v="3137.5"/>
    <n v="2085.62"/>
    <n v="1051.8800000000001"/>
    <x v="7"/>
  </r>
  <r>
    <s v="ORD00461"/>
    <d v="2025-11-17T00:00:00"/>
    <x v="0"/>
    <x v="0"/>
    <x v="4"/>
    <n v="89"/>
    <n v="39.229999999999997"/>
    <n v="3491.47"/>
    <n v="2766.51"/>
    <n v="724.96"/>
    <x v="3"/>
  </r>
  <r>
    <s v="ORD00462"/>
    <d v="2025-12-13T00:00:00"/>
    <x v="0"/>
    <x v="1"/>
    <x v="0"/>
    <n v="179"/>
    <n v="28.27"/>
    <n v="5060.33"/>
    <n v="3336.82"/>
    <n v="1723.51"/>
    <x v="5"/>
  </r>
  <r>
    <s v="ORD00463"/>
    <d v="2025-09-04T00:00:00"/>
    <x v="5"/>
    <x v="0"/>
    <x v="2"/>
    <n v="80"/>
    <n v="18.98"/>
    <n v="1518.4"/>
    <n v="1015.33"/>
    <n v="503.07"/>
    <x v="9"/>
  </r>
  <r>
    <s v="ORD00464"/>
    <d v="2025-04-24T00:00:00"/>
    <x v="0"/>
    <x v="1"/>
    <x v="3"/>
    <n v="239"/>
    <n v="30.74"/>
    <n v="7346.86"/>
    <n v="4623.99"/>
    <n v="2722.87"/>
    <x v="7"/>
  </r>
  <r>
    <s v="ORD00465"/>
    <d v="2025-10-25T00:00:00"/>
    <x v="3"/>
    <x v="1"/>
    <x v="0"/>
    <n v="223"/>
    <n v="20.8"/>
    <n v="4638.3999999999996"/>
    <n v="3005.9"/>
    <n v="1632.5"/>
    <x v="1"/>
  </r>
  <r>
    <s v="ORD00466"/>
    <d v="2025-02-28T00:00:00"/>
    <x v="0"/>
    <x v="2"/>
    <x v="4"/>
    <n v="126"/>
    <n v="15.42"/>
    <n v="1942.92"/>
    <n v="1511.59"/>
    <n v="431.33"/>
    <x v="2"/>
  </r>
  <r>
    <s v="ORD00467"/>
    <d v="2025-04-24T00:00:00"/>
    <x v="5"/>
    <x v="1"/>
    <x v="5"/>
    <n v="139"/>
    <n v="29.49"/>
    <n v="4099.1099999999997"/>
    <n v="2613.2199999999998"/>
    <n v="1485.89"/>
    <x v="7"/>
  </r>
  <r>
    <s v="ORD00468"/>
    <d v="2025-09-08T00:00:00"/>
    <x v="0"/>
    <x v="2"/>
    <x v="4"/>
    <n v="126"/>
    <n v="26.62"/>
    <n v="3354.12"/>
    <n v="2164.4499999999998"/>
    <n v="1189.67"/>
    <x v="9"/>
  </r>
  <r>
    <s v="ORD00469"/>
    <d v="2025-09-20T00:00:00"/>
    <x v="1"/>
    <x v="1"/>
    <x v="2"/>
    <n v="300"/>
    <n v="12.41"/>
    <n v="3723"/>
    <n v="2537.62"/>
    <n v="1185.3800000000001"/>
    <x v="9"/>
  </r>
  <r>
    <s v="ORD00470"/>
    <d v="2025-09-15T00:00:00"/>
    <x v="1"/>
    <x v="2"/>
    <x v="5"/>
    <n v="291"/>
    <n v="25.22"/>
    <n v="7339.02"/>
    <n v="5634.24"/>
    <n v="1704.78"/>
    <x v="9"/>
  </r>
  <r>
    <s v="ORD00471"/>
    <d v="2025-09-21T00:00:00"/>
    <x v="0"/>
    <x v="0"/>
    <x v="2"/>
    <n v="62"/>
    <n v="23.8"/>
    <n v="1475.6"/>
    <n v="1087.8"/>
    <n v="387.8"/>
    <x v="9"/>
  </r>
  <r>
    <s v="ORD00472"/>
    <d v="2025-10-16T00:00:00"/>
    <x v="0"/>
    <x v="0"/>
    <x v="1"/>
    <n v="253"/>
    <n v="33.25"/>
    <n v="8412.25"/>
    <n v="5277.51"/>
    <n v="3134.74"/>
    <x v="1"/>
  </r>
  <r>
    <s v="ORD00473"/>
    <d v="2025-05-02T00:00:00"/>
    <x v="0"/>
    <x v="0"/>
    <x v="1"/>
    <n v="34"/>
    <n v="21.17"/>
    <n v="719.78"/>
    <n v="434.05"/>
    <n v="285.73"/>
    <x v="11"/>
  </r>
  <r>
    <s v="ORD00474"/>
    <d v="2025-06-03T00:00:00"/>
    <x v="1"/>
    <x v="2"/>
    <x v="2"/>
    <n v="71"/>
    <n v="31.22"/>
    <n v="2216.62"/>
    <n v="1518.82"/>
    <n v="697.8"/>
    <x v="0"/>
  </r>
  <r>
    <s v="ORD00475"/>
    <d v="2025-10-16T00:00:00"/>
    <x v="2"/>
    <x v="1"/>
    <x v="5"/>
    <n v="68"/>
    <n v="37.53"/>
    <n v="2552.04"/>
    <n v="1975.67"/>
    <n v="576.37"/>
    <x v="1"/>
  </r>
  <r>
    <s v="ORD00476"/>
    <d v="2025-06-24T00:00:00"/>
    <x v="4"/>
    <x v="2"/>
    <x v="5"/>
    <n v="15"/>
    <n v="34.770000000000003"/>
    <n v="521.54999999999995"/>
    <n v="325.73"/>
    <n v="195.82"/>
    <x v="0"/>
  </r>
  <r>
    <s v="ORD00477"/>
    <d v="2025-09-26T00:00:00"/>
    <x v="0"/>
    <x v="1"/>
    <x v="4"/>
    <n v="192"/>
    <n v="31.65"/>
    <n v="6076.8"/>
    <n v="3698.95"/>
    <n v="2377.85"/>
    <x v="9"/>
  </r>
  <r>
    <s v="ORD00478"/>
    <d v="2025-07-02T00:00:00"/>
    <x v="1"/>
    <x v="2"/>
    <x v="2"/>
    <n v="291"/>
    <n v="19.82"/>
    <n v="5767.62"/>
    <n v="4156.21"/>
    <n v="1611.41"/>
    <x v="8"/>
  </r>
  <r>
    <s v="ORD00479"/>
    <d v="2025-05-11T00:00:00"/>
    <x v="0"/>
    <x v="1"/>
    <x v="4"/>
    <n v="191"/>
    <n v="15.79"/>
    <n v="3015.89"/>
    <n v="2079.0100000000002"/>
    <n v="936.88"/>
    <x v="11"/>
  </r>
  <r>
    <s v="ORD00480"/>
    <d v="2025-01-11T00:00:00"/>
    <x v="2"/>
    <x v="0"/>
    <x v="3"/>
    <n v="259"/>
    <n v="13.31"/>
    <n v="3447.29"/>
    <n v="2620.42"/>
    <n v="826.87"/>
    <x v="10"/>
  </r>
  <r>
    <s v="ORD00481"/>
    <d v="2025-05-29T00:00:00"/>
    <x v="4"/>
    <x v="2"/>
    <x v="5"/>
    <n v="204"/>
    <n v="35.090000000000003"/>
    <n v="7158.36"/>
    <n v="5137.29"/>
    <n v="2021.07"/>
    <x v="11"/>
  </r>
  <r>
    <s v="ORD00482"/>
    <d v="2025-05-18T00:00:00"/>
    <x v="2"/>
    <x v="1"/>
    <x v="3"/>
    <n v="237"/>
    <n v="10.41"/>
    <n v="2467.17"/>
    <n v="1649.24"/>
    <n v="817.93"/>
    <x v="11"/>
  </r>
  <r>
    <s v="ORD00483"/>
    <d v="2025-09-05T00:00:00"/>
    <x v="2"/>
    <x v="2"/>
    <x v="5"/>
    <n v="26"/>
    <n v="34.01"/>
    <n v="884.26"/>
    <n v="536.83000000000004"/>
    <n v="347.43"/>
    <x v="9"/>
  </r>
  <r>
    <s v="ORD00484"/>
    <d v="2025-12-14T00:00:00"/>
    <x v="5"/>
    <x v="1"/>
    <x v="1"/>
    <n v="210"/>
    <n v="35.29"/>
    <n v="7410.9"/>
    <n v="5880.59"/>
    <n v="1530.31"/>
    <x v="5"/>
  </r>
  <r>
    <s v="ORD00485"/>
    <d v="2025-04-28T00:00:00"/>
    <x v="2"/>
    <x v="1"/>
    <x v="2"/>
    <n v="274"/>
    <n v="12.28"/>
    <n v="3364.72"/>
    <n v="2240.41"/>
    <n v="1124.31"/>
    <x v="7"/>
  </r>
  <r>
    <s v="ORD00486"/>
    <d v="2025-10-29T00:00:00"/>
    <x v="5"/>
    <x v="1"/>
    <x v="0"/>
    <n v="32"/>
    <n v="16.34"/>
    <n v="522.88"/>
    <n v="399.39"/>
    <n v="123.49"/>
    <x v="1"/>
  </r>
  <r>
    <s v="ORD00487"/>
    <d v="2025-10-23T00:00:00"/>
    <x v="1"/>
    <x v="1"/>
    <x v="3"/>
    <n v="249"/>
    <n v="21.64"/>
    <n v="5388.36"/>
    <n v="3614.17"/>
    <n v="1774.19"/>
    <x v="1"/>
  </r>
  <r>
    <s v="ORD00488"/>
    <d v="2025-09-05T00:00:00"/>
    <x v="0"/>
    <x v="0"/>
    <x v="5"/>
    <n v="180"/>
    <n v="16.8"/>
    <n v="3024"/>
    <n v="1964.84"/>
    <n v="1059.1600000000001"/>
    <x v="9"/>
  </r>
  <r>
    <s v="ORD00489"/>
    <d v="2025-03-16T00:00:00"/>
    <x v="0"/>
    <x v="1"/>
    <x v="0"/>
    <n v="83"/>
    <n v="18.18"/>
    <n v="1508.94"/>
    <n v="987.85"/>
    <n v="521.09"/>
    <x v="4"/>
  </r>
  <r>
    <s v="ORD00490"/>
    <d v="2025-10-19T00:00:00"/>
    <x v="5"/>
    <x v="0"/>
    <x v="3"/>
    <n v="280"/>
    <n v="27.53"/>
    <n v="7708.4"/>
    <n v="4839.4799999999996"/>
    <n v="2868.92"/>
    <x v="1"/>
  </r>
  <r>
    <s v="ORD00491"/>
    <d v="2025-02-18T00:00:00"/>
    <x v="5"/>
    <x v="0"/>
    <x v="0"/>
    <n v="112"/>
    <n v="33.229999999999997"/>
    <n v="3721.76"/>
    <n v="2704.31"/>
    <n v="1017.45"/>
    <x v="2"/>
  </r>
  <r>
    <s v="ORD00492"/>
    <d v="2025-05-25T00:00:00"/>
    <x v="5"/>
    <x v="0"/>
    <x v="0"/>
    <n v="131"/>
    <n v="36.18"/>
    <n v="4739.58"/>
    <n v="3733.5"/>
    <n v="1006.08"/>
    <x v="11"/>
  </r>
  <r>
    <s v="ORD00493"/>
    <d v="2025-06-24T00:00:00"/>
    <x v="4"/>
    <x v="2"/>
    <x v="5"/>
    <n v="195"/>
    <n v="25.27"/>
    <n v="4927.6499999999996"/>
    <n v="3582.61"/>
    <n v="1345.04"/>
    <x v="0"/>
  </r>
  <r>
    <s v="ORD00494"/>
    <d v="2025-07-27T00:00:00"/>
    <x v="4"/>
    <x v="1"/>
    <x v="3"/>
    <n v="181"/>
    <n v="11.81"/>
    <n v="2137.61"/>
    <n v="1426.73"/>
    <n v="710.88"/>
    <x v="8"/>
  </r>
  <r>
    <s v="ORD00495"/>
    <d v="2025-07-08T00:00:00"/>
    <x v="2"/>
    <x v="0"/>
    <x v="2"/>
    <n v="134"/>
    <n v="34.28"/>
    <n v="4593.5200000000004"/>
    <n v="3671.72"/>
    <n v="921.8"/>
    <x v="8"/>
  </r>
  <r>
    <s v="ORD00496"/>
    <d v="2025-01-04T00:00:00"/>
    <x v="4"/>
    <x v="0"/>
    <x v="3"/>
    <n v="242"/>
    <n v="22.15"/>
    <n v="5360.3"/>
    <n v="3640.8"/>
    <n v="1719.5"/>
    <x v="10"/>
  </r>
  <r>
    <s v="ORD00497"/>
    <d v="2025-02-03T00:00:00"/>
    <x v="5"/>
    <x v="2"/>
    <x v="3"/>
    <n v="83"/>
    <n v="19.04"/>
    <n v="1580.32"/>
    <n v="1045.7"/>
    <n v="534.62"/>
    <x v="2"/>
  </r>
  <r>
    <s v="ORD00498"/>
    <d v="2025-12-04T00:00:00"/>
    <x v="1"/>
    <x v="2"/>
    <x v="2"/>
    <n v="184"/>
    <n v="12.21"/>
    <n v="2246.64"/>
    <n v="1433.46"/>
    <n v="813.18"/>
    <x v="5"/>
  </r>
  <r>
    <s v="ORD00499"/>
    <d v="2025-06-05T00:00:00"/>
    <x v="5"/>
    <x v="1"/>
    <x v="5"/>
    <n v="190"/>
    <n v="39.619999999999997"/>
    <n v="7527.8"/>
    <n v="5054.13"/>
    <n v="2473.67"/>
    <x v="0"/>
  </r>
  <r>
    <s v="ORD00500"/>
    <d v="2025-02-04T00:00:00"/>
    <x v="4"/>
    <x v="2"/>
    <x v="4"/>
    <n v="258"/>
    <n v="19.579999999999998"/>
    <n v="5051.6400000000003"/>
    <n v="3208.03"/>
    <n v="1843.61"/>
    <x v="2"/>
  </r>
  <r>
    <s v="ORD00501"/>
    <d v="2025-03-26T00:00:00"/>
    <x v="1"/>
    <x v="1"/>
    <x v="1"/>
    <n v="147"/>
    <n v="17.11"/>
    <n v="2515.17"/>
    <n v="1519.2"/>
    <n v="995.97"/>
    <x v="4"/>
  </r>
  <r>
    <s v="ORD00502"/>
    <d v="2025-04-13T00:00:00"/>
    <x v="2"/>
    <x v="0"/>
    <x v="5"/>
    <n v="154"/>
    <n v="35.92"/>
    <n v="5531.68"/>
    <n v="4036.02"/>
    <n v="1495.66"/>
    <x v="7"/>
  </r>
  <r>
    <s v="ORD00503"/>
    <d v="2025-01-30T00:00:00"/>
    <x v="0"/>
    <x v="1"/>
    <x v="5"/>
    <n v="76"/>
    <n v="28.03"/>
    <n v="2130.2800000000002"/>
    <n v="1311.96"/>
    <n v="818.32"/>
    <x v="10"/>
  </r>
  <r>
    <s v="ORD00504"/>
    <d v="2025-03-11T00:00:00"/>
    <x v="1"/>
    <x v="2"/>
    <x v="0"/>
    <n v="12"/>
    <n v="15.65"/>
    <n v="187.8"/>
    <n v="132.85"/>
    <n v="54.95"/>
    <x v="4"/>
  </r>
  <r>
    <s v="ORD00505"/>
    <d v="2025-01-15T00:00:00"/>
    <x v="1"/>
    <x v="2"/>
    <x v="1"/>
    <n v="118"/>
    <n v="19.649999999999999"/>
    <n v="2318.6999999999998"/>
    <n v="1793.62"/>
    <n v="525.08000000000004"/>
    <x v="10"/>
  </r>
  <r>
    <s v="ORD00506"/>
    <d v="2025-07-27T00:00:00"/>
    <x v="1"/>
    <x v="0"/>
    <x v="5"/>
    <n v="182"/>
    <n v="15.24"/>
    <n v="2773.68"/>
    <n v="2143.11"/>
    <n v="630.57000000000005"/>
    <x v="8"/>
  </r>
  <r>
    <s v="ORD00507"/>
    <d v="2025-11-10T00:00:00"/>
    <x v="3"/>
    <x v="1"/>
    <x v="1"/>
    <n v="181"/>
    <n v="33.28"/>
    <n v="6023.68"/>
    <n v="4804.28"/>
    <n v="1219.4000000000001"/>
    <x v="3"/>
  </r>
  <r>
    <s v="ORD00508"/>
    <d v="2025-01-07T00:00:00"/>
    <x v="4"/>
    <x v="0"/>
    <x v="1"/>
    <n v="23"/>
    <n v="37.76"/>
    <n v="868.48"/>
    <n v="619.08000000000004"/>
    <n v="249.4"/>
    <x v="10"/>
  </r>
  <r>
    <s v="ORD00509"/>
    <d v="2025-11-11T00:00:00"/>
    <x v="2"/>
    <x v="0"/>
    <x v="3"/>
    <n v="178"/>
    <n v="14.7"/>
    <n v="2616.6"/>
    <n v="1579.69"/>
    <n v="1036.9100000000001"/>
    <x v="3"/>
  </r>
  <r>
    <s v="ORD00510"/>
    <d v="2025-02-16T00:00:00"/>
    <x v="0"/>
    <x v="2"/>
    <x v="3"/>
    <n v="193"/>
    <n v="34.42"/>
    <n v="6643.06"/>
    <n v="4548.1499999999996"/>
    <n v="2094.91"/>
    <x v="2"/>
  </r>
  <r>
    <s v="ORD00511"/>
    <d v="2025-10-12T00:00:00"/>
    <x v="4"/>
    <x v="0"/>
    <x v="5"/>
    <n v="88"/>
    <n v="29.72"/>
    <n v="2615.36"/>
    <n v="1883.88"/>
    <n v="731.48"/>
    <x v="1"/>
  </r>
  <r>
    <s v="ORD00512"/>
    <d v="2025-11-13T00:00:00"/>
    <x v="1"/>
    <x v="2"/>
    <x v="0"/>
    <n v="142"/>
    <n v="34.4"/>
    <n v="4884.8"/>
    <n v="3397.44"/>
    <n v="1487.36"/>
    <x v="3"/>
  </r>
  <r>
    <s v="ORD00513"/>
    <d v="2025-11-30T00:00:00"/>
    <x v="4"/>
    <x v="1"/>
    <x v="3"/>
    <n v="291"/>
    <n v="39.32"/>
    <n v="11442.12"/>
    <n v="7902.3"/>
    <n v="3539.82"/>
    <x v="3"/>
  </r>
  <r>
    <s v="ORD00514"/>
    <d v="2025-09-29T00:00:00"/>
    <x v="3"/>
    <x v="0"/>
    <x v="5"/>
    <n v="150"/>
    <n v="13.96"/>
    <n v="2094"/>
    <n v="1260.19"/>
    <n v="833.81"/>
    <x v="9"/>
  </r>
  <r>
    <s v="ORD00515"/>
    <d v="2025-07-05T00:00:00"/>
    <x v="1"/>
    <x v="0"/>
    <x v="3"/>
    <n v="87"/>
    <n v="39.69"/>
    <n v="3453.03"/>
    <n v="2229.39"/>
    <n v="1223.6400000000001"/>
    <x v="8"/>
  </r>
  <r>
    <s v="ORD00516"/>
    <d v="2025-03-10T00:00:00"/>
    <x v="0"/>
    <x v="0"/>
    <x v="0"/>
    <n v="72"/>
    <n v="11.8"/>
    <n v="849.6"/>
    <n v="595.03"/>
    <n v="254.57"/>
    <x v="4"/>
  </r>
  <r>
    <s v="ORD00517"/>
    <d v="2025-11-07T00:00:00"/>
    <x v="5"/>
    <x v="0"/>
    <x v="3"/>
    <n v="197"/>
    <n v="32.130000000000003"/>
    <n v="6329.61"/>
    <n v="4940.71"/>
    <n v="1388.9"/>
    <x v="3"/>
  </r>
  <r>
    <s v="ORD00518"/>
    <d v="2025-01-15T00:00:00"/>
    <x v="3"/>
    <x v="0"/>
    <x v="5"/>
    <n v="189"/>
    <n v="33.340000000000003"/>
    <n v="6301.26"/>
    <n v="4086.47"/>
    <n v="2214.79"/>
    <x v="10"/>
  </r>
  <r>
    <s v="ORD00519"/>
    <d v="2025-06-26T00:00:00"/>
    <x v="1"/>
    <x v="0"/>
    <x v="5"/>
    <n v="209"/>
    <n v="23.8"/>
    <n v="4974.2"/>
    <n v="3306.68"/>
    <n v="1667.52"/>
    <x v="0"/>
  </r>
  <r>
    <s v="ORD00520"/>
    <d v="2025-01-08T00:00:00"/>
    <x v="5"/>
    <x v="1"/>
    <x v="4"/>
    <n v="43"/>
    <n v="34.200000000000003"/>
    <n v="1470.6"/>
    <n v="1151.08"/>
    <n v="319.52"/>
    <x v="10"/>
  </r>
  <r>
    <s v="ORD00521"/>
    <d v="2025-04-27T00:00:00"/>
    <x v="3"/>
    <x v="2"/>
    <x v="5"/>
    <n v="298"/>
    <n v="21.28"/>
    <n v="6341.44"/>
    <n v="4955.2299999999996"/>
    <n v="1386.21"/>
    <x v="7"/>
  </r>
  <r>
    <s v="ORD00522"/>
    <d v="2025-04-25T00:00:00"/>
    <x v="3"/>
    <x v="0"/>
    <x v="2"/>
    <n v="25"/>
    <n v="17.559999999999999"/>
    <n v="439"/>
    <n v="286.43"/>
    <n v="152.57"/>
    <x v="7"/>
  </r>
  <r>
    <s v="ORD00523"/>
    <d v="2025-07-01T00:00:00"/>
    <x v="4"/>
    <x v="1"/>
    <x v="1"/>
    <n v="114"/>
    <n v="19.78"/>
    <n v="2254.92"/>
    <n v="1544.9"/>
    <n v="710.02"/>
    <x v="8"/>
  </r>
  <r>
    <s v="ORD00524"/>
    <d v="2025-04-21T00:00:00"/>
    <x v="4"/>
    <x v="0"/>
    <x v="0"/>
    <n v="90"/>
    <n v="24.32"/>
    <n v="2188.8000000000002"/>
    <n v="1722.1"/>
    <n v="466.7"/>
    <x v="7"/>
  </r>
  <r>
    <s v="ORD00525"/>
    <d v="2025-05-25T00:00:00"/>
    <x v="2"/>
    <x v="0"/>
    <x v="0"/>
    <n v="55"/>
    <n v="19.95"/>
    <n v="1097.25"/>
    <n v="764.9"/>
    <n v="332.35"/>
    <x v="11"/>
  </r>
  <r>
    <s v="ORD00526"/>
    <d v="2025-12-16T00:00:00"/>
    <x v="2"/>
    <x v="2"/>
    <x v="0"/>
    <n v="241"/>
    <n v="16.36"/>
    <n v="3942.76"/>
    <n v="2406.7600000000002"/>
    <n v="1536"/>
    <x v="5"/>
  </r>
  <r>
    <s v="ORD00527"/>
    <d v="2025-01-24T00:00:00"/>
    <x v="4"/>
    <x v="2"/>
    <x v="4"/>
    <n v="234"/>
    <n v="15.47"/>
    <n v="3619.98"/>
    <n v="2797.5"/>
    <n v="822.48"/>
    <x v="10"/>
  </r>
  <r>
    <s v="ORD00528"/>
    <d v="2025-02-27T00:00:00"/>
    <x v="4"/>
    <x v="0"/>
    <x v="3"/>
    <n v="87"/>
    <n v="39.229999999999997"/>
    <n v="3413.01"/>
    <n v="2054.2399999999998"/>
    <n v="1358.77"/>
    <x v="2"/>
  </r>
  <r>
    <s v="ORD00529"/>
    <d v="2025-06-30T00:00:00"/>
    <x v="3"/>
    <x v="0"/>
    <x v="1"/>
    <n v="59"/>
    <n v="32.54"/>
    <n v="1919.86"/>
    <n v="1330.26"/>
    <n v="589.6"/>
    <x v="0"/>
  </r>
  <r>
    <s v="ORD00530"/>
    <d v="2025-06-23T00:00:00"/>
    <x v="1"/>
    <x v="2"/>
    <x v="2"/>
    <n v="213"/>
    <n v="36.46"/>
    <n v="7765.98"/>
    <n v="6181.18"/>
    <n v="1584.8"/>
    <x v="0"/>
  </r>
  <r>
    <s v="ORD00531"/>
    <d v="2025-04-14T00:00:00"/>
    <x v="2"/>
    <x v="2"/>
    <x v="1"/>
    <n v="17"/>
    <n v="11.14"/>
    <n v="189.38"/>
    <n v="132.75"/>
    <n v="56.63"/>
    <x v="7"/>
  </r>
  <r>
    <s v="ORD00532"/>
    <d v="2025-12-24T00:00:00"/>
    <x v="4"/>
    <x v="0"/>
    <x v="4"/>
    <n v="63"/>
    <n v="31.86"/>
    <n v="2007.18"/>
    <n v="1223.7"/>
    <n v="783.48"/>
    <x v="5"/>
  </r>
  <r>
    <s v="ORD00533"/>
    <d v="2025-03-03T00:00:00"/>
    <x v="1"/>
    <x v="0"/>
    <x v="2"/>
    <n v="259"/>
    <n v="39.119999999999997"/>
    <n v="10132.08"/>
    <n v="7143.96"/>
    <n v="2988.12"/>
    <x v="4"/>
  </r>
  <r>
    <s v="ORD00534"/>
    <d v="2025-12-17T00:00:00"/>
    <x v="0"/>
    <x v="0"/>
    <x v="3"/>
    <n v="286"/>
    <n v="14.44"/>
    <n v="4129.84"/>
    <n v="3087.64"/>
    <n v="1042.2"/>
    <x v="5"/>
  </r>
  <r>
    <s v="ORD00535"/>
    <d v="2025-07-01T00:00:00"/>
    <x v="2"/>
    <x v="0"/>
    <x v="5"/>
    <n v="264"/>
    <n v="38.72"/>
    <n v="10222.08"/>
    <n v="6291.34"/>
    <n v="3930.74"/>
    <x v="8"/>
  </r>
  <r>
    <s v="ORD00536"/>
    <d v="2025-02-07T00:00:00"/>
    <x v="4"/>
    <x v="0"/>
    <x v="4"/>
    <n v="149"/>
    <n v="31.11"/>
    <n v="4635.3900000000003"/>
    <n v="2795.33"/>
    <n v="1840.06"/>
    <x v="2"/>
  </r>
  <r>
    <s v="ORD00537"/>
    <d v="2025-04-11T00:00:00"/>
    <x v="4"/>
    <x v="1"/>
    <x v="4"/>
    <n v="270"/>
    <n v="11.44"/>
    <n v="3088.8"/>
    <n v="2341.0100000000002"/>
    <n v="747.79"/>
    <x v="7"/>
  </r>
  <r>
    <s v="ORD00538"/>
    <d v="2025-06-16T00:00:00"/>
    <x v="0"/>
    <x v="1"/>
    <x v="5"/>
    <n v="31"/>
    <n v="29.59"/>
    <n v="917.29"/>
    <n v="650.16999999999996"/>
    <n v="267.12"/>
    <x v="0"/>
  </r>
  <r>
    <s v="ORD00539"/>
    <d v="2025-07-30T00:00:00"/>
    <x v="3"/>
    <x v="1"/>
    <x v="2"/>
    <n v="147"/>
    <n v="21.98"/>
    <n v="3231.06"/>
    <n v="2144.3000000000002"/>
    <n v="1086.76"/>
    <x v="8"/>
  </r>
  <r>
    <s v="ORD00540"/>
    <d v="2025-07-18T00:00:00"/>
    <x v="5"/>
    <x v="0"/>
    <x v="2"/>
    <n v="207"/>
    <n v="36.450000000000003"/>
    <n v="7545.15"/>
    <n v="5739.98"/>
    <n v="1805.17"/>
    <x v="8"/>
  </r>
  <r>
    <s v="ORD00541"/>
    <d v="2025-11-08T00:00:00"/>
    <x v="0"/>
    <x v="2"/>
    <x v="1"/>
    <n v="266"/>
    <n v="37.79"/>
    <n v="10052.14"/>
    <n v="6543.27"/>
    <n v="3508.87"/>
    <x v="3"/>
  </r>
  <r>
    <s v="ORD00542"/>
    <d v="2025-05-04T00:00:00"/>
    <x v="0"/>
    <x v="0"/>
    <x v="5"/>
    <n v="111"/>
    <n v="29.9"/>
    <n v="3318.9"/>
    <n v="2048.96"/>
    <n v="1269.94"/>
    <x v="11"/>
  </r>
  <r>
    <s v="ORD00543"/>
    <d v="2025-01-26T00:00:00"/>
    <x v="5"/>
    <x v="1"/>
    <x v="3"/>
    <n v="217"/>
    <n v="30.83"/>
    <n v="6690.11"/>
    <n v="4448.08"/>
    <n v="2242.0300000000002"/>
    <x v="10"/>
  </r>
  <r>
    <s v="ORD00544"/>
    <d v="2025-12-09T00:00:00"/>
    <x v="3"/>
    <x v="2"/>
    <x v="5"/>
    <n v="171"/>
    <n v="23.66"/>
    <n v="4045.86"/>
    <n v="2894.98"/>
    <n v="1150.8800000000001"/>
    <x v="5"/>
  </r>
  <r>
    <s v="ORD00545"/>
    <d v="2025-08-29T00:00:00"/>
    <x v="3"/>
    <x v="0"/>
    <x v="5"/>
    <n v="271"/>
    <n v="20.27"/>
    <n v="5493.17"/>
    <n v="3895.95"/>
    <n v="1597.22"/>
    <x v="6"/>
  </r>
  <r>
    <s v="ORD00546"/>
    <d v="2025-07-13T00:00:00"/>
    <x v="0"/>
    <x v="1"/>
    <x v="3"/>
    <n v="191"/>
    <n v="31.37"/>
    <n v="5991.67"/>
    <n v="4066.58"/>
    <n v="1925.09"/>
    <x v="8"/>
  </r>
  <r>
    <s v="ORD00547"/>
    <d v="2025-12-04T00:00:00"/>
    <x v="5"/>
    <x v="0"/>
    <x v="3"/>
    <n v="174"/>
    <n v="12.16"/>
    <n v="2115.84"/>
    <n v="1606.9"/>
    <n v="508.94"/>
    <x v="5"/>
  </r>
  <r>
    <s v="ORD00548"/>
    <d v="2025-05-16T00:00:00"/>
    <x v="5"/>
    <x v="1"/>
    <x v="3"/>
    <n v="144"/>
    <n v="37.26"/>
    <n v="5365.44"/>
    <n v="3727.13"/>
    <n v="1638.31"/>
    <x v="11"/>
  </r>
  <r>
    <s v="ORD00549"/>
    <d v="2025-10-29T00:00:00"/>
    <x v="1"/>
    <x v="2"/>
    <x v="0"/>
    <n v="254"/>
    <n v="27.12"/>
    <n v="6888.48"/>
    <n v="5509.97"/>
    <n v="1378.51"/>
    <x v="1"/>
  </r>
  <r>
    <s v="ORD00550"/>
    <d v="2025-09-26T00:00:00"/>
    <x v="2"/>
    <x v="2"/>
    <x v="2"/>
    <n v="114"/>
    <n v="25.82"/>
    <n v="2943.48"/>
    <n v="2244.91"/>
    <n v="698.57"/>
    <x v="9"/>
  </r>
  <r>
    <s v="ORD00551"/>
    <d v="2025-03-20T00:00:00"/>
    <x v="5"/>
    <x v="0"/>
    <x v="0"/>
    <n v="245"/>
    <n v="15.33"/>
    <n v="3755.85"/>
    <n v="2965.14"/>
    <n v="790.71"/>
    <x v="4"/>
  </r>
  <r>
    <s v="ORD00552"/>
    <d v="2025-07-15T00:00:00"/>
    <x v="1"/>
    <x v="1"/>
    <x v="2"/>
    <n v="195"/>
    <n v="34.96"/>
    <n v="6817.2"/>
    <n v="5205.3"/>
    <n v="1611.9"/>
    <x v="8"/>
  </r>
  <r>
    <s v="ORD00553"/>
    <d v="2025-12-26T00:00:00"/>
    <x v="5"/>
    <x v="2"/>
    <x v="3"/>
    <n v="138"/>
    <n v="21.25"/>
    <n v="2932.5"/>
    <n v="1973.44"/>
    <n v="959.06"/>
    <x v="5"/>
  </r>
  <r>
    <s v="ORD00554"/>
    <d v="2025-06-04T00:00:00"/>
    <x v="4"/>
    <x v="1"/>
    <x v="5"/>
    <n v="241"/>
    <n v="29.87"/>
    <n v="7198.67"/>
    <n v="4715.1499999999996"/>
    <n v="2483.52"/>
    <x v="0"/>
  </r>
  <r>
    <s v="ORD00555"/>
    <d v="2025-02-27T00:00:00"/>
    <x v="2"/>
    <x v="2"/>
    <x v="2"/>
    <n v="240"/>
    <n v="29.04"/>
    <n v="6969.6"/>
    <n v="5200.2700000000004"/>
    <n v="1769.33"/>
    <x v="2"/>
  </r>
  <r>
    <s v="ORD00556"/>
    <d v="2025-01-04T00:00:00"/>
    <x v="2"/>
    <x v="2"/>
    <x v="0"/>
    <n v="76"/>
    <n v="21.01"/>
    <n v="1596.76"/>
    <n v="1124.3399999999999"/>
    <n v="472.42"/>
    <x v="10"/>
  </r>
  <r>
    <s v="ORD00557"/>
    <d v="2025-09-25T00:00:00"/>
    <x v="0"/>
    <x v="0"/>
    <x v="4"/>
    <n v="184"/>
    <n v="34.049999999999997"/>
    <n v="6265.2"/>
    <n v="4075.97"/>
    <n v="2189.23"/>
    <x v="9"/>
  </r>
  <r>
    <s v="ORD00558"/>
    <d v="2025-10-20T00:00:00"/>
    <x v="5"/>
    <x v="2"/>
    <x v="0"/>
    <n v="142"/>
    <n v="11.73"/>
    <n v="1665.66"/>
    <n v="1058.8399999999999"/>
    <n v="606.82000000000005"/>
    <x v="1"/>
  </r>
  <r>
    <s v="ORD00559"/>
    <d v="2025-06-15T00:00:00"/>
    <x v="1"/>
    <x v="2"/>
    <x v="5"/>
    <n v="140"/>
    <n v="17.25"/>
    <n v="2415"/>
    <n v="1851.89"/>
    <n v="563.11"/>
    <x v="0"/>
  </r>
  <r>
    <s v="ORD00560"/>
    <d v="2025-09-10T00:00:00"/>
    <x v="4"/>
    <x v="2"/>
    <x v="0"/>
    <n v="55"/>
    <n v="16.05"/>
    <n v="882.75"/>
    <n v="604.36"/>
    <n v="278.39"/>
    <x v="9"/>
  </r>
  <r>
    <s v="ORD00561"/>
    <d v="2025-01-23T00:00:00"/>
    <x v="4"/>
    <x v="1"/>
    <x v="1"/>
    <n v="236"/>
    <n v="21.27"/>
    <n v="5019.72"/>
    <n v="3053.75"/>
    <n v="1965.97"/>
    <x v="10"/>
  </r>
  <r>
    <s v="ORD00562"/>
    <d v="2025-11-28T00:00:00"/>
    <x v="0"/>
    <x v="0"/>
    <x v="3"/>
    <n v="141"/>
    <n v="20.57"/>
    <n v="2900.37"/>
    <n v="1963.76"/>
    <n v="936.61"/>
    <x v="3"/>
  </r>
  <r>
    <s v="ORD00563"/>
    <d v="2025-04-09T00:00:00"/>
    <x v="1"/>
    <x v="0"/>
    <x v="1"/>
    <n v="200"/>
    <n v="11.9"/>
    <n v="2380"/>
    <n v="1524.69"/>
    <n v="855.31"/>
    <x v="7"/>
  </r>
  <r>
    <s v="ORD00564"/>
    <d v="2025-07-14T00:00:00"/>
    <x v="5"/>
    <x v="0"/>
    <x v="4"/>
    <n v="211"/>
    <n v="25.77"/>
    <n v="5437.47"/>
    <n v="3802.53"/>
    <n v="1634.94"/>
    <x v="8"/>
  </r>
  <r>
    <s v="ORD00565"/>
    <d v="2025-10-31T00:00:00"/>
    <x v="3"/>
    <x v="1"/>
    <x v="1"/>
    <n v="298"/>
    <n v="23.88"/>
    <n v="7116.24"/>
    <n v="4927.54"/>
    <n v="2188.6999999999998"/>
    <x v="1"/>
  </r>
  <r>
    <s v="ORD00566"/>
    <d v="2025-04-01T00:00:00"/>
    <x v="0"/>
    <x v="0"/>
    <x v="5"/>
    <n v="43"/>
    <n v="23.2"/>
    <n v="997.6"/>
    <n v="696.58"/>
    <n v="301.02"/>
    <x v="7"/>
  </r>
  <r>
    <s v="ORD00567"/>
    <d v="2025-04-29T00:00:00"/>
    <x v="5"/>
    <x v="1"/>
    <x v="3"/>
    <n v="112"/>
    <n v="22.05"/>
    <n v="2469.6"/>
    <n v="1501.81"/>
    <n v="967.79"/>
    <x v="7"/>
  </r>
  <r>
    <s v="ORD00568"/>
    <d v="2025-06-19T00:00:00"/>
    <x v="2"/>
    <x v="0"/>
    <x v="3"/>
    <n v="208"/>
    <n v="33.1"/>
    <n v="6884.8"/>
    <n v="4293.53"/>
    <n v="2591.27"/>
    <x v="0"/>
  </r>
  <r>
    <s v="ORD00569"/>
    <d v="2025-01-08T00:00:00"/>
    <x v="2"/>
    <x v="2"/>
    <x v="1"/>
    <n v="62"/>
    <n v="24.91"/>
    <n v="1544.42"/>
    <n v="1188.6300000000001"/>
    <n v="355.79"/>
    <x v="10"/>
  </r>
  <r>
    <s v="ORD00570"/>
    <d v="2025-01-29T00:00:00"/>
    <x v="1"/>
    <x v="2"/>
    <x v="5"/>
    <n v="112"/>
    <n v="31.33"/>
    <n v="3508.96"/>
    <n v="2444.1999999999998"/>
    <n v="1064.76"/>
    <x v="10"/>
  </r>
  <r>
    <s v="ORD00571"/>
    <d v="2025-08-02T00:00:00"/>
    <x v="5"/>
    <x v="0"/>
    <x v="0"/>
    <n v="81"/>
    <n v="39.94"/>
    <n v="3235.14"/>
    <n v="2469.61"/>
    <n v="765.53"/>
    <x v="6"/>
  </r>
  <r>
    <s v="ORD00572"/>
    <d v="2025-06-21T00:00:00"/>
    <x v="0"/>
    <x v="1"/>
    <x v="3"/>
    <n v="107"/>
    <n v="25.55"/>
    <n v="2733.85"/>
    <n v="1643.6"/>
    <n v="1090.25"/>
    <x v="0"/>
  </r>
  <r>
    <s v="ORD00573"/>
    <d v="2025-05-15T00:00:00"/>
    <x v="4"/>
    <x v="2"/>
    <x v="1"/>
    <n v="54"/>
    <n v="19.39"/>
    <n v="1047.06"/>
    <n v="681.64"/>
    <n v="365.42"/>
    <x v="11"/>
  </r>
  <r>
    <s v="ORD00574"/>
    <d v="2025-09-19T00:00:00"/>
    <x v="2"/>
    <x v="1"/>
    <x v="1"/>
    <n v="225"/>
    <n v="30.43"/>
    <n v="6846.75"/>
    <n v="4528.2299999999996"/>
    <n v="2318.52"/>
    <x v="9"/>
  </r>
  <r>
    <s v="ORD00575"/>
    <d v="2025-10-04T00:00:00"/>
    <x v="2"/>
    <x v="2"/>
    <x v="5"/>
    <n v="141"/>
    <n v="19.149999999999999"/>
    <n v="2700.15"/>
    <n v="1691.24"/>
    <n v="1008.91"/>
    <x v="1"/>
  </r>
  <r>
    <s v="ORD00576"/>
    <d v="2025-07-11T00:00:00"/>
    <x v="2"/>
    <x v="1"/>
    <x v="0"/>
    <n v="247"/>
    <n v="29.69"/>
    <n v="7333.43"/>
    <n v="5441.22"/>
    <n v="1892.21"/>
    <x v="8"/>
  </r>
  <r>
    <s v="ORD00577"/>
    <d v="2025-04-13T00:00:00"/>
    <x v="1"/>
    <x v="2"/>
    <x v="0"/>
    <n v="243"/>
    <n v="37.58"/>
    <n v="9131.94"/>
    <n v="6494.87"/>
    <n v="2637.07"/>
    <x v="7"/>
  </r>
  <r>
    <s v="ORD00578"/>
    <d v="2025-01-05T00:00:00"/>
    <x v="4"/>
    <x v="0"/>
    <x v="0"/>
    <n v="282"/>
    <n v="12.03"/>
    <n v="3392.46"/>
    <n v="2681"/>
    <n v="711.46"/>
    <x v="10"/>
  </r>
  <r>
    <s v="ORD00579"/>
    <d v="2025-04-23T00:00:00"/>
    <x v="0"/>
    <x v="2"/>
    <x v="1"/>
    <n v="234"/>
    <n v="18.75"/>
    <n v="4387.5"/>
    <n v="3256.01"/>
    <n v="1131.49"/>
    <x v="7"/>
  </r>
  <r>
    <s v="ORD00580"/>
    <d v="2025-07-27T00:00:00"/>
    <x v="2"/>
    <x v="1"/>
    <x v="5"/>
    <n v="237"/>
    <n v="16.12"/>
    <n v="3820.44"/>
    <n v="2447.54"/>
    <n v="1372.9"/>
    <x v="8"/>
  </r>
  <r>
    <s v="ORD00581"/>
    <d v="2025-03-05T00:00:00"/>
    <x v="0"/>
    <x v="1"/>
    <x v="2"/>
    <n v="35"/>
    <n v="14.11"/>
    <n v="493.85"/>
    <n v="383.22"/>
    <n v="110.63"/>
    <x v="4"/>
  </r>
  <r>
    <s v="ORD00582"/>
    <d v="2025-01-08T00:00:00"/>
    <x v="2"/>
    <x v="2"/>
    <x v="5"/>
    <n v="297"/>
    <n v="32.119999999999997"/>
    <n v="9539.64"/>
    <n v="6036.92"/>
    <n v="3502.72"/>
    <x v="10"/>
  </r>
  <r>
    <s v="ORD00583"/>
    <d v="2025-12-12T00:00:00"/>
    <x v="2"/>
    <x v="0"/>
    <x v="5"/>
    <n v="160"/>
    <n v="34.06"/>
    <n v="5449.6"/>
    <n v="3852.27"/>
    <n v="1597.33"/>
    <x v="5"/>
  </r>
  <r>
    <s v="ORD00584"/>
    <d v="2025-04-16T00:00:00"/>
    <x v="1"/>
    <x v="0"/>
    <x v="1"/>
    <n v="274"/>
    <n v="13.03"/>
    <n v="3570.22"/>
    <n v="2210.13"/>
    <n v="1360.09"/>
    <x v="7"/>
  </r>
  <r>
    <s v="ORD00585"/>
    <d v="2025-04-25T00:00:00"/>
    <x v="3"/>
    <x v="0"/>
    <x v="4"/>
    <n v="141"/>
    <n v="31.19"/>
    <n v="4397.79"/>
    <n v="3027.8"/>
    <n v="1369.99"/>
    <x v="7"/>
  </r>
  <r>
    <s v="ORD00586"/>
    <d v="2025-12-23T00:00:00"/>
    <x v="4"/>
    <x v="0"/>
    <x v="3"/>
    <n v="78"/>
    <n v="11.25"/>
    <n v="877.5"/>
    <n v="673.24"/>
    <n v="204.26"/>
    <x v="5"/>
  </r>
  <r>
    <s v="ORD00587"/>
    <d v="2025-06-13T00:00:00"/>
    <x v="4"/>
    <x v="1"/>
    <x v="3"/>
    <n v="297"/>
    <n v="31.58"/>
    <n v="9379.26"/>
    <n v="6208.26"/>
    <n v="3171"/>
    <x v="0"/>
  </r>
  <r>
    <s v="ORD00588"/>
    <d v="2025-04-20T00:00:00"/>
    <x v="2"/>
    <x v="1"/>
    <x v="4"/>
    <n v="87"/>
    <n v="38.369999999999997"/>
    <n v="3338.19"/>
    <n v="2447.15"/>
    <n v="891.04"/>
    <x v="7"/>
  </r>
  <r>
    <s v="ORD00589"/>
    <d v="2025-06-17T00:00:00"/>
    <x v="5"/>
    <x v="2"/>
    <x v="5"/>
    <n v="204"/>
    <n v="14.68"/>
    <n v="2994.72"/>
    <n v="1971.16"/>
    <n v="1023.56"/>
    <x v="0"/>
  </r>
  <r>
    <s v="ORD00590"/>
    <d v="2025-02-17T00:00:00"/>
    <x v="3"/>
    <x v="1"/>
    <x v="5"/>
    <n v="111"/>
    <n v="23.93"/>
    <n v="2656.23"/>
    <n v="1980.61"/>
    <n v="675.62"/>
    <x v="2"/>
  </r>
  <r>
    <s v="ORD00591"/>
    <d v="2025-07-25T00:00:00"/>
    <x v="5"/>
    <x v="0"/>
    <x v="5"/>
    <n v="68"/>
    <n v="11.16"/>
    <n v="758.88"/>
    <n v="508.73"/>
    <n v="250.15"/>
    <x v="8"/>
  </r>
  <r>
    <s v="ORD00592"/>
    <d v="2025-09-26T00:00:00"/>
    <x v="1"/>
    <x v="1"/>
    <x v="4"/>
    <n v="279"/>
    <n v="12.19"/>
    <n v="3401.01"/>
    <n v="2373.85"/>
    <n v="1027.1600000000001"/>
    <x v="9"/>
  </r>
  <r>
    <s v="ORD00593"/>
    <d v="2025-04-13T00:00:00"/>
    <x v="0"/>
    <x v="2"/>
    <x v="4"/>
    <n v="258"/>
    <n v="18.399999999999999"/>
    <n v="4747.2"/>
    <n v="3135.96"/>
    <n v="1611.24"/>
    <x v="7"/>
  </r>
  <r>
    <s v="ORD00594"/>
    <d v="2025-04-14T00:00:00"/>
    <x v="2"/>
    <x v="2"/>
    <x v="0"/>
    <n v="81"/>
    <n v="24.11"/>
    <n v="1952.91"/>
    <n v="1471.62"/>
    <n v="481.29"/>
    <x v="7"/>
  </r>
  <r>
    <s v="ORD00595"/>
    <d v="2025-01-17T00:00:00"/>
    <x v="2"/>
    <x v="2"/>
    <x v="0"/>
    <n v="61"/>
    <n v="39.020000000000003"/>
    <n v="2380.2199999999998"/>
    <n v="1592.03"/>
    <n v="788.19"/>
    <x v="10"/>
  </r>
  <r>
    <s v="ORD00596"/>
    <d v="2025-01-26T00:00:00"/>
    <x v="2"/>
    <x v="1"/>
    <x v="5"/>
    <n v="98"/>
    <n v="19.989999999999998"/>
    <n v="1959.02"/>
    <n v="1351.58"/>
    <n v="607.44000000000005"/>
    <x v="10"/>
  </r>
  <r>
    <s v="ORD00597"/>
    <d v="2025-07-06T00:00:00"/>
    <x v="1"/>
    <x v="2"/>
    <x v="3"/>
    <n v="101"/>
    <n v="13.29"/>
    <n v="1342.29"/>
    <n v="1028.74"/>
    <n v="313.55"/>
    <x v="8"/>
  </r>
  <r>
    <s v="ORD00598"/>
    <d v="2025-08-21T00:00:00"/>
    <x v="2"/>
    <x v="2"/>
    <x v="1"/>
    <n v="58"/>
    <n v="32.409999999999997"/>
    <n v="1879.78"/>
    <n v="1170.33"/>
    <n v="709.45"/>
    <x v="6"/>
  </r>
  <r>
    <s v="ORD00599"/>
    <d v="2025-08-25T00:00:00"/>
    <x v="1"/>
    <x v="1"/>
    <x v="5"/>
    <n v="28"/>
    <n v="11.01"/>
    <n v="308.27999999999997"/>
    <n v="216.62"/>
    <n v="91.66"/>
    <x v="6"/>
  </r>
  <r>
    <s v="ORD00600"/>
    <d v="2025-12-23T00:00:00"/>
    <x v="1"/>
    <x v="1"/>
    <x v="5"/>
    <n v="77"/>
    <n v="22.46"/>
    <n v="1729.42"/>
    <n v="1327.22"/>
    <n v="402.2"/>
    <x v="5"/>
  </r>
  <r>
    <s v="ORD00601"/>
    <d v="2025-12-06T00:00:00"/>
    <x v="1"/>
    <x v="1"/>
    <x v="4"/>
    <n v="93"/>
    <n v="20.78"/>
    <n v="1932.54"/>
    <n v="1415.68"/>
    <n v="516.86"/>
    <x v="5"/>
  </r>
  <r>
    <s v="ORD00602"/>
    <d v="2025-11-27T00:00:00"/>
    <x v="1"/>
    <x v="0"/>
    <x v="4"/>
    <n v="255"/>
    <n v="19.100000000000001"/>
    <n v="4870.5"/>
    <n v="3176.81"/>
    <n v="1693.69"/>
    <x v="3"/>
  </r>
  <r>
    <s v="ORD00603"/>
    <d v="2025-03-20T00:00:00"/>
    <x v="4"/>
    <x v="1"/>
    <x v="2"/>
    <n v="264"/>
    <n v="18.11"/>
    <n v="4781.04"/>
    <n v="3385.98"/>
    <n v="1395.06"/>
    <x v="4"/>
  </r>
  <r>
    <s v="ORD00604"/>
    <d v="2025-03-25T00:00:00"/>
    <x v="2"/>
    <x v="1"/>
    <x v="1"/>
    <n v="284"/>
    <n v="11.26"/>
    <n v="3197.84"/>
    <n v="2082.58"/>
    <n v="1115.26"/>
    <x v="4"/>
  </r>
  <r>
    <s v="ORD00605"/>
    <d v="2025-10-12T00:00:00"/>
    <x v="5"/>
    <x v="2"/>
    <x v="3"/>
    <n v="114"/>
    <n v="39.64"/>
    <n v="4518.96"/>
    <n v="3532.38"/>
    <n v="986.58"/>
    <x v="1"/>
  </r>
  <r>
    <s v="ORD00606"/>
    <d v="2025-05-03T00:00:00"/>
    <x v="3"/>
    <x v="2"/>
    <x v="3"/>
    <n v="58"/>
    <n v="10.45"/>
    <n v="606.1"/>
    <n v="478.01"/>
    <n v="128.09"/>
    <x v="11"/>
  </r>
  <r>
    <s v="ORD00607"/>
    <d v="2025-04-18T00:00:00"/>
    <x v="4"/>
    <x v="0"/>
    <x v="1"/>
    <n v="127"/>
    <n v="12.61"/>
    <n v="1601.47"/>
    <n v="1015.74"/>
    <n v="585.73"/>
    <x v="7"/>
  </r>
  <r>
    <s v="ORD00608"/>
    <d v="2025-07-21T00:00:00"/>
    <x v="1"/>
    <x v="0"/>
    <x v="5"/>
    <n v="275"/>
    <n v="13.29"/>
    <n v="3654.75"/>
    <n v="2609.35"/>
    <n v="1045.4000000000001"/>
    <x v="8"/>
  </r>
  <r>
    <s v="ORD00609"/>
    <d v="2025-10-24T00:00:00"/>
    <x v="0"/>
    <x v="2"/>
    <x v="4"/>
    <n v="121"/>
    <n v="17.02"/>
    <n v="2059.42"/>
    <n v="1480.84"/>
    <n v="578.58000000000004"/>
    <x v="1"/>
  </r>
  <r>
    <s v="ORD00610"/>
    <d v="2025-05-06T00:00:00"/>
    <x v="1"/>
    <x v="0"/>
    <x v="3"/>
    <n v="47"/>
    <n v="27.98"/>
    <n v="1315.06"/>
    <n v="1047.56"/>
    <n v="267.5"/>
    <x v="11"/>
  </r>
  <r>
    <s v="ORD00611"/>
    <d v="2025-12-21T00:00:00"/>
    <x v="3"/>
    <x v="2"/>
    <x v="2"/>
    <n v="99"/>
    <n v="34.44"/>
    <n v="3409.56"/>
    <n v="2279"/>
    <n v="1130.56"/>
    <x v="5"/>
  </r>
  <r>
    <s v="ORD00612"/>
    <d v="2025-01-06T00:00:00"/>
    <x v="3"/>
    <x v="0"/>
    <x v="4"/>
    <n v="172"/>
    <n v="38.21"/>
    <n v="6572.12"/>
    <n v="4484.7700000000004"/>
    <n v="2087.35"/>
    <x v="10"/>
  </r>
  <r>
    <s v="ORD00613"/>
    <d v="2025-05-06T00:00:00"/>
    <x v="2"/>
    <x v="1"/>
    <x v="2"/>
    <n v="85"/>
    <n v="32.01"/>
    <n v="2720.85"/>
    <n v="2001.9"/>
    <n v="718.95"/>
    <x v="11"/>
  </r>
  <r>
    <s v="ORD00614"/>
    <d v="2025-04-15T00:00:00"/>
    <x v="5"/>
    <x v="0"/>
    <x v="4"/>
    <n v="111"/>
    <n v="37.75"/>
    <n v="4190.25"/>
    <n v="3089.08"/>
    <n v="1101.17"/>
    <x v="7"/>
  </r>
  <r>
    <s v="ORD00615"/>
    <d v="2025-09-03T00:00:00"/>
    <x v="1"/>
    <x v="2"/>
    <x v="5"/>
    <n v="29"/>
    <n v="24.92"/>
    <n v="722.68"/>
    <n v="546.24"/>
    <n v="176.44"/>
    <x v="9"/>
  </r>
  <r>
    <s v="ORD00616"/>
    <d v="2025-02-02T00:00:00"/>
    <x v="4"/>
    <x v="1"/>
    <x v="4"/>
    <n v="111"/>
    <n v="36"/>
    <n v="3996"/>
    <n v="2437.8200000000002"/>
    <n v="1558.18"/>
    <x v="2"/>
  </r>
  <r>
    <s v="ORD00617"/>
    <d v="2025-11-30T00:00:00"/>
    <x v="3"/>
    <x v="2"/>
    <x v="5"/>
    <n v="188"/>
    <n v="27.48"/>
    <n v="5166.24"/>
    <n v="3929.8"/>
    <n v="1236.44"/>
    <x v="3"/>
  </r>
  <r>
    <s v="ORD00618"/>
    <d v="2025-09-12T00:00:00"/>
    <x v="4"/>
    <x v="0"/>
    <x v="5"/>
    <n v="79"/>
    <n v="17.78"/>
    <n v="1404.62"/>
    <n v="1037.6400000000001"/>
    <n v="366.98"/>
    <x v="9"/>
  </r>
  <r>
    <s v="ORD00619"/>
    <d v="2025-08-27T00:00:00"/>
    <x v="0"/>
    <x v="1"/>
    <x v="5"/>
    <n v="94"/>
    <n v="23.06"/>
    <n v="2167.64"/>
    <n v="1658.32"/>
    <n v="509.32"/>
    <x v="6"/>
  </r>
  <r>
    <s v="ORD00620"/>
    <d v="2025-10-31T00:00:00"/>
    <x v="1"/>
    <x v="1"/>
    <x v="2"/>
    <n v="282"/>
    <n v="29.66"/>
    <n v="8364.1200000000008"/>
    <n v="6076.57"/>
    <n v="2287.5500000000002"/>
    <x v="1"/>
  </r>
  <r>
    <s v="ORD00621"/>
    <d v="2025-05-03T00:00:00"/>
    <x v="3"/>
    <x v="2"/>
    <x v="5"/>
    <n v="111"/>
    <n v="27.63"/>
    <n v="3066.93"/>
    <n v="2184.64"/>
    <n v="882.29"/>
    <x v="11"/>
  </r>
  <r>
    <s v="ORD00622"/>
    <d v="2025-12-30T00:00:00"/>
    <x v="5"/>
    <x v="2"/>
    <x v="0"/>
    <n v="35"/>
    <n v="21.76"/>
    <n v="761.6"/>
    <n v="576.35"/>
    <n v="185.25"/>
    <x v="5"/>
  </r>
  <r>
    <s v="ORD00623"/>
    <d v="2025-07-14T00:00:00"/>
    <x v="5"/>
    <x v="1"/>
    <x v="5"/>
    <n v="217"/>
    <n v="38.44"/>
    <n v="8341.48"/>
    <n v="5385.84"/>
    <n v="2955.64"/>
    <x v="8"/>
  </r>
  <r>
    <s v="ORD00624"/>
    <d v="2025-11-01T00:00:00"/>
    <x v="3"/>
    <x v="2"/>
    <x v="4"/>
    <n v="228"/>
    <n v="33.79"/>
    <n v="7704.12"/>
    <n v="4629.3999999999996"/>
    <n v="3074.72"/>
    <x v="3"/>
  </r>
  <r>
    <s v="ORD00625"/>
    <d v="2025-02-26T00:00:00"/>
    <x v="3"/>
    <x v="0"/>
    <x v="0"/>
    <n v="253"/>
    <n v="22.56"/>
    <n v="5707.68"/>
    <n v="4114.96"/>
    <n v="1592.72"/>
    <x v="2"/>
  </r>
  <r>
    <s v="ORD00626"/>
    <d v="2025-10-07T00:00:00"/>
    <x v="3"/>
    <x v="2"/>
    <x v="4"/>
    <n v="119"/>
    <n v="12.49"/>
    <n v="1486.31"/>
    <n v="1008.87"/>
    <n v="477.44"/>
    <x v="1"/>
  </r>
  <r>
    <s v="ORD00627"/>
    <d v="2025-05-30T00:00:00"/>
    <x v="5"/>
    <x v="1"/>
    <x v="1"/>
    <n v="181"/>
    <n v="12.64"/>
    <n v="2287.84"/>
    <n v="1496.71"/>
    <n v="791.13"/>
    <x v="11"/>
  </r>
  <r>
    <s v="ORD00628"/>
    <d v="2025-12-05T00:00:00"/>
    <x v="5"/>
    <x v="2"/>
    <x v="4"/>
    <n v="285"/>
    <n v="34.21"/>
    <n v="9749.85"/>
    <n v="6085.29"/>
    <n v="3664.56"/>
    <x v="5"/>
  </r>
  <r>
    <s v="ORD00629"/>
    <d v="2025-07-12T00:00:00"/>
    <x v="2"/>
    <x v="1"/>
    <x v="2"/>
    <n v="104"/>
    <n v="21.69"/>
    <n v="2255.7600000000002"/>
    <n v="1503.54"/>
    <n v="752.22"/>
    <x v="8"/>
  </r>
  <r>
    <s v="ORD00630"/>
    <d v="2025-04-25T00:00:00"/>
    <x v="3"/>
    <x v="1"/>
    <x v="1"/>
    <n v="189"/>
    <n v="36.700000000000003"/>
    <n v="6936.3"/>
    <n v="5008.34"/>
    <n v="1927.96"/>
    <x v="7"/>
  </r>
  <r>
    <s v="ORD00631"/>
    <d v="2025-06-13T00:00:00"/>
    <x v="2"/>
    <x v="1"/>
    <x v="3"/>
    <n v="269"/>
    <n v="33.72"/>
    <n v="9070.68"/>
    <n v="6542.84"/>
    <n v="2527.84"/>
    <x v="0"/>
  </r>
  <r>
    <s v="ORD00632"/>
    <d v="2025-01-05T00:00:00"/>
    <x v="2"/>
    <x v="1"/>
    <x v="3"/>
    <n v="10"/>
    <n v="35.6"/>
    <n v="356"/>
    <n v="220.99"/>
    <n v="135.01"/>
    <x v="10"/>
  </r>
  <r>
    <s v="ORD00633"/>
    <d v="2025-12-03T00:00:00"/>
    <x v="0"/>
    <x v="2"/>
    <x v="3"/>
    <n v="138"/>
    <n v="32.1"/>
    <n v="4429.8"/>
    <n v="3257"/>
    <n v="1172.8"/>
    <x v="5"/>
  </r>
  <r>
    <s v="ORD00634"/>
    <d v="2025-12-08T00:00:00"/>
    <x v="4"/>
    <x v="2"/>
    <x v="1"/>
    <n v="202"/>
    <n v="14.05"/>
    <n v="2838.1"/>
    <n v="2130.46"/>
    <n v="707.64"/>
    <x v="5"/>
  </r>
  <r>
    <s v="ORD00635"/>
    <d v="2025-02-08T00:00:00"/>
    <x v="4"/>
    <x v="1"/>
    <x v="0"/>
    <n v="273"/>
    <n v="28.72"/>
    <n v="7840.56"/>
    <n v="5400.73"/>
    <n v="2439.83"/>
    <x v="2"/>
  </r>
  <r>
    <s v="ORD00636"/>
    <d v="2025-12-05T00:00:00"/>
    <x v="1"/>
    <x v="2"/>
    <x v="1"/>
    <n v="202"/>
    <n v="38.130000000000003"/>
    <n v="7702.26"/>
    <n v="5867.08"/>
    <n v="1835.18"/>
    <x v="5"/>
  </r>
  <r>
    <s v="ORD00637"/>
    <d v="2025-09-10T00:00:00"/>
    <x v="5"/>
    <x v="0"/>
    <x v="3"/>
    <n v="196"/>
    <n v="30.75"/>
    <n v="6027"/>
    <n v="3637.89"/>
    <n v="2389.11"/>
    <x v="9"/>
  </r>
  <r>
    <s v="ORD00638"/>
    <d v="2025-07-13T00:00:00"/>
    <x v="2"/>
    <x v="2"/>
    <x v="3"/>
    <n v="239"/>
    <n v="19.329999999999998"/>
    <n v="4619.87"/>
    <n v="3245.44"/>
    <n v="1374.43"/>
    <x v="8"/>
  </r>
  <r>
    <s v="ORD00639"/>
    <d v="2025-08-23T00:00:00"/>
    <x v="1"/>
    <x v="1"/>
    <x v="2"/>
    <n v="27"/>
    <n v="38.450000000000003"/>
    <n v="1038.1500000000001"/>
    <n v="723.07"/>
    <n v="315.08"/>
    <x v="6"/>
  </r>
  <r>
    <s v="ORD00640"/>
    <d v="2025-04-07T00:00:00"/>
    <x v="5"/>
    <x v="2"/>
    <x v="5"/>
    <n v="270"/>
    <n v="11.4"/>
    <n v="3078"/>
    <n v="2088.25"/>
    <n v="989.75"/>
    <x v="7"/>
  </r>
  <r>
    <s v="ORD00641"/>
    <d v="2025-05-24T00:00:00"/>
    <x v="3"/>
    <x v="2"/>
    <x v="1"/>
    <n v="133"/>
    <n v="18.739999999999998"/>
    <n v="2492.42"/>
    <n v="1766.77"/>
    <n v="725.65"/>
    <x v="11"/>
  </r>
  <r>
    <s v="ORD00642"/>
    <d v="2025-11-29T00:00:00"/>
    <x v="3"/>
    <x v="1"/>
    <x v="5"/>
    <n v="53"/>
    <n v="34.15"/>
    <n v="1809.95"/>
    <n v="1330.86"/>
    <n v="479.09"/>
    <x v="3"/>
  </r>
  <r>
    <s v="ORD00643"/>
    <d v="2025-07-04T00:00:00"/>
    <x v="3"/>
    <x v="0"/>
    <x v="3"/>
    <n v="152"/>
    <n v="19.73"/>
    <n v="2998.96"/>
    <n v="2299.3000000000002"/>
    <n v="699.66"/>
    <x v="8"/>
  </r>
  <r>
    <s v="ORD00644"/>
    <d v="2025-06-27T00:00:00"/>
    <x v="1"/>
    <x v="0"/>
    <x v="0"/>
    <n v="81"/>
    <n v="16.02"/>
    <n v="1297.6199999999999"/>
    <n v="988.12"/>
    <n v="309.5"/>
    <x v="0"/>
  </r>
  <r>
    <s v="ORD00645"/>
    <d v="2025-09-24T00:00:00"/>
    <x v="0"/>
    <x v="1"/>
    <x v="1"/>
    <n v="97"/>
    <n v="30.44"/>
    <n v="2952.68"/>
    <n v="2307.5700000000002"/>
    <n v="645.11"/>
    <x v="9"/>
  </r>
  <r>
    <s v="ORD00646"/>
    <d v="2025-07-04T00:00:00"/>
    <x v="3"/>
    <x v="0"/>
    <x v="3"/>
    <n v="105"/>
    <n v="18.170000000000002"/>
    <n v="1907.85"/>
    <n v="1484.78"/>
    <n v="423.07"/>
    <x v="8"/>
  </r>
  <r>
    <s v="ORD00647"/>
    <d v="2025-06-14T00:00:00"/>
    <x v="4"/>
    <x v="1"/>
    <x v="0"/>
    <n v="234"/>
    <n v="22.09"/>
    <n v="5169.0600000000004"/>
    <n v="3806.04"/>
    <n v="1363.02"/>
    <x v="0"/>
  </r>
  <r>
    <s v="ORD00648"/>
    <d v="2025-07-17T00:00:00"/>
    <x v="0"/>
    <x v="1"/>
    <x v="3"/>
    <n v="251"/>
    <n v="18.010000000000002"/>
    <n v="4520.51"/>
    <n v="2896.72"/>
    <n v="1623.79"/>
    <x v="8"/>
  </r>
  <r>
    <s v="ORD00649"/>
    <d v="2025-07-29T00:00:00"/>
    <x v="2"/>
    <x v="1"/>
    <x v="3"/>
    <n v="91"/>
    <n v="33.36"/>
    <n v="3035.76"/>
    <n v="2012.56"/>
    <n v="1023.2"/>
    <x v="8"/>
  </r>
  <r>
    <s v="ORD00650"/>
    <d v="2025-08-29T00:00:00"/>
    <x v="1"/>
    <x v="1"/>
    <x v="1"/>
    <n v="296"/>
    <n v="35.44"/>
    <n v="10490.24"/>
    <n v="7157.96"/>
    <n v="3332.28"/>
    <x v="6"/>
  </r>
  <r>
    <s v="ORD00651"/>
    <d v="2025-07-05T00:00:00"/>
    <x v="5"/>
    <x v="0"/>
    <x v="0"/>
    <n v="212"/>
    <n v="25.88"/>
    <n v="5486.56"/>
    <n v="3608.37"/>
    <n v="1878.19"/>
    <x v="8"/>
  </r>
  <r>
    <s v="ORD00652"/>
    <d v="2025-08-19T00:00:00"/>
    <x v="0"/>
    <x v="1"/>
    <x v="0"/>
    <n v="16"/>
    <n v="11.24"/>
    <n v="179.84"/>
    <n v="137.63999999999999"/>
    <n v="42.2"/>
    <x v="6"/>
  </r>
  <r>
    <s v="ORD00653"/>
    <d v="2025-11-05T00:00:00"/>
    <x v="1"/>
    <x v="2"/>
    <x v="4"/>
    <n v="194"/>
    <n v="17.97"/>
    <n v="3486.18"/>
    <n v="2261.4"/>
    <n v="1224.78"/>
    <x v="3"/>
  </r>
  <r>
    <s v="ORD00654"/>
    <d v="2025-11-05T00:00:00"/>
    <x v="4"/>
    <x v="0"/>
    <x v="5"/>
    <n v="221"/>
    <n v="35.03"/>
    <n v="7741.63"/>
    <n v="5747.06"/>
    <n v="1994.57"/>
    <x v="3"/>
  </r>
  <r>
    <s v="ORD00655"/>
    <d v="2025-04-01T00:00:00"/>
    <x v="5"/>
    <x v="1"/>
    <x v="1"/>
    <n v="70"/>
    <n v="33.24"/>
    <n v="2326.8000000000002"/>
    <n v="1579.66"/>
    <n v="747.14"/>
    <x v="7"/>
  </r>
  <r>
    <s v="ORD00656"/>
    <d v="2025-07-20T00:00:00"/>
    <x v="2"/>
    <x v="2"/>
    <x v="2"/>
    <n v="265"/>
    <n v="34.17"/>
    <n v="9055.0499999999993"/>
    <n v="6066.38"/>
    <n v="2988.67"/>
    <x v="8"/>
  </r>
  <r>
    <s v="ORD00657"/>
    <d v="2025-09-30T00:00:00"/>
    <x v="4"/>
    <x v="0"/>
    <x v="2"/>
    <n v="276"/>
    <n v="22.41"/>
    <n v="6185.16"/>
    <n v="4858.1400000000003"/>
    <n v="1327.02"/>
    <x v="9"/>
  </r>
  <r>
    <s v="ORD00658"/>
    <d v="2025-06-23T00:00:00"/>
    <x v="1"/>
    <x v="2"/>
    <x v="5"/>
    <n v="43"/>
    <n v="37.74"/>
    <n v="1622.82"/>
    <n v="995.37"/>
    <n v="627.45000000000005"/>
    <x v="0"/>
  </r>
  <r>
    <s v="ORD00659"/>
    <d v="2025-05-01T00:00:00"/>
    <x v="4"/>
    <x v="2"/>
    <x v="2"/>
    <n v="231"/>
    <n v="22.11"/>
    <n v="5107.41"/>
    <n v="3650.49"/>
    <n v="1456.92"/>
    <x v="11"/>
  </r>
  <r>
    <s v="ORD00660"/>
    <d v="2025-03-19T00:00:00"/>
    <x v="0"/>
    <x v="0"/>
    <x v="0"/>
    <n v="123"/>
    <n v="30.15"/>
    <n v="3708.45"/>
    <n v="2784.39"/>
    <n v="924.06"/>
    <x v="4"/>
  </r>
  <r>
    <s v="ORD00661"/>
    <d v="2025-01-18T00:00:00"/>
    <x v="5"/>
    <x v="2"/>
    <x v="1"/>
    <n v="205"/>
    <n v="36.36"/>
    <n v="7453.8"/>
    <n v="4667.99"/>
    <n v="2785.81"/>
    <x v="10"/>
  </r>
  <r>
    <s v="ORD00662"/>
    <d v="2025-11-10T00:00:00"/>
    <x v="0"/>
    <x v="2"/>
    <x v="0"/>
    <n v="150"/>
    <n v="31.36"/>
    <n v="4704"/>
    <n v="3548.25"/>
    <n v="1155.75"/>
    <x v="3"/>
  </r>
  <r>
    <s v="ORD00663"/>
    <d v="2025-11-08T00:00:00"/>
    <x v="4"/>
    <x v="2"/>
    <x v="3"/>
    <n v="119"/>
    <n v="37.119999999999997"/>
    <n v="4417.28"/>
    <n v="2923.58"/>
    <n v="1493.7"/>
    <x v="3"/>
  </r>
  <r>
    <s v="ORD00664"/>
    <d v="2025-02-10T00:00:00"/>
    <x v="1"/>
    <x v="1"/>
    <x v="2"/>
    <n v="194"/>
    <n v="10.7"/>
    <n v="2075.8000000000002"/>
    <n v="1460.23"/>
    <n v="615.57000000000005"/>
    <x v="2"/>
  </r>
  <r>
    <s v="ORD00665"/>
    <d v="2025-01-02T00:00:00"/>
    <x v="4"/>
    <x v="2"/>
    <x v="4"/>
    <n v="244"/>
    <n v="28.88"/>
    <n v="7046.72"/>
    <n v="4423.59"/>
    <n v="2623.13"/>
    <x v="10"/>
  </r>
  <r>
    <s v="ORD00666"/>
    <d v="2025-08-17T00:00:00"/>
    <x v="0"/>
    <x v="1"/>
    <x v="4"/>
    <n v="294"/>
    <n v="27.87"/>
    <n v="8193.7800000000007"/>
    <n v="4969.1400000000003"/>
    <n v="3224.64"/>
    <x v="6"/>
  </r>
  <r>
    <s v="ORD00667"/>
    <d v="2025-09-05T00:00:00"/>
    <x v="4"/>
    <x v="2"/>
    <x v="3"/>
    <n v="124"/>
    <n v="18.82"/>
    <n v="2333.6799999999998"/>
    <n v="1837.2"/>
    <n v="496.48"/>
    <x v="9"/>
  </r>
  <r>
    <s v="ORD00668"/>
    <d v="2025-04-28T00:00:00"/>
    <x v="4"/>
    <x v="2"/>
    <x v="3"/>
    <n v="121"/>
    <n v="26.7"/>
    <n v="3230.7"/>
    <n v="2468.56"/>
    <n v="762.14"/>
    <x v="7"/>
  </r>
  <r>
    <s v="ORD00669"/>
    <d v="2025-01-16T00:00:00"/>
    <x v="0"/>
    <x v="1"/>
    <x v="1"/>
    <n v="124"/>
    <n v="33.340000000000003"/>
    <n v="4134.16"/>
    <n v="2503.96"/>
    <n v="1630.2"/>
    <x v="10"/>
  </r>
  <r>
    <s v="ORD00670"/>
    <d v="2025-07-11T00:00:00"/>
    <x v="1"/>
    <x v="2"/>
    <x v="4"/>
    <n v="42"/>
    <n v="38.64"/>
    <n v="1622.88"/>
    <n v="1062.58"/>
    <n v="560.29999999999995"/>
    <x v="8"/>
  </r>
  <r>
    <s v="ORD00671"/>
    <d v="2025-07-24T00:00:00"/>
    <x v="2"/>
    <x v="2"/>
    <x v="4"/>
    <n v="209"/>
    <n v="25.36"/>
    <n v="5300.24"/>
    <n v="3804.25"/>
    <n v="1495.99"/>
    <x v="8"/>
  </r>
  <r>
    <s v="ORD00672"/>
    <d v="2025-07-10T00:00:00"/>
    <x v="1"/>
    <x v="2"/>
    <x v="1"/>
    <n v="282"/>
    <n v="19.88"/>
    <n v="5606.16"/>
    <n v="4469.51"/>
    <n v="1136.6500000000001"/>
    <x v="8"/>
  </r>
  <r>
    <s v="ORD00673"/>
    <d v="2025-10-22T00:00:00"/>
    <x v="5"/>
    <x v="2"/>
    <x v="1"/>
    <n v="78"/>
    <n v="22.94"/>
    <n v="1789.32"/>
    <n v="1420.43"/>
    <n v="368.89"/>
    <x v="1"/>
  </r>
  <r>
    <s v="ORD00674"/>
    <d v="2025-04-08T00:00:00"/>
    <x v="2"/>
    <x v="1"/>
    <x v="2"/>
    <n v="184"/>
    <n v="28.47"/>
    <n v="5238.4799999999996"/>
    <n v="3260.31"/>
    <n v="1978.17"/>
    <x v="7"/>
  </r>
  <r>
    <s v="ORD00675"/>
    <d v="2025-02-09T00:00:00"/>
    <x v="5"/>
    <x v="2"/>
    <x v="2"/>
    <n v="274"/>
    <n v="10.5"/>
    <n v="2877"/>
    <n v="2173.5300000000002"/>
    <n v="703.47"/>
    <x v="2"/>
  </r>
  <r>
    <s v="ORD00676"/>
    <d v="2025-05-16T00:00:00"/>
    <x v="4"/>
    <x v="2"/>
    <x v="4"/>
    <n v="113"/>
    <n v="26.81"/>
    <n v="3029.53"/>
    <n v="2242.6"/>
    <n v="786.93"/>
    <x v="11"/>
  </r>
  <r>
    <s v="ORD00677"/>
    <d v="2025-11-10T00:00:00"/>
    <x v="1"/>
    <x v="2"/>
    <x v="5"/>
    <n v="18"/>
    <n v="11.88"/>
    <n v="213.84"/>
    <n v="137.1"/>
    <n v="76.739999999999995"/>
    <x v="3"/>
  </r>
  <r>
    <s v="ORD00678"/>
    <d v="2025-11-19T00:00:00"/>
    <x v="2"/>
    <x v="2"/>
    <x v="5"/>
    <n v="285"/>
    <n v="17.91"/>
    <n v="5104.3500000000004"/>
    <n v="3425.41"/>
    <n v="1678.94"/>
    <x v="3"/>
  </r>
  <r>
    <s v="ORD00679"/>
    <d v="2025-06-11T00:00:00"/>
    <x v="2"/>
    <x v="2"/>
    <x v="0"/>
    <n v="191"/>
    <n v="19.170000000000002"/>
    <n v="3661.47"/>
    <n v="2229.2800000000002"/>
    <n v="1432.19"/>
    <x v="0"/>
  </r>
  <r>
    <s v="ORD00680"/>
    <d v="2025-08-04T00:00:00"/>
    <x v="1"/>
    <x v="1"/>
    <x v="4"/>
    <n v="25"/>
    <n v="34.130000000000003"/>
    <n v="853.25"/>
    <n v="589.61"/>
    <n v="263.64"/>
    <x v="6"/>
  </r>
  <r>
    <s v="ORD00681"/>
    <d v="2025-03-20T00:00:00"/>
    <x v="1"/>
    <x v="1"/>
    <x v="0"/>
    <n v="196"/>
    <n v="33.32"/>
    <n v="6530.72"/>
    <n v="4533.97"/>
    <n v="1996.75"/>
    <x v="4"/>
  </r>
  <r>
    <s v="ORD00682"/>
    <d v="2025-09-01T00:00:00"/>
    <x v="4"/>
    <x v="2"/>
    <x v="1"/>
    <n v="75"/>
    <n v="35.5"/>
    <n v="2662.5"/>
    <n v="1878.82"/>
    <n v="783.68"/>
    <x v="9"/>
  </r>
  <r>
    <s v="ORD00683"/>
    <d v="2025-04-18T00:00:00"/>
    <x v="2"/>
    <x v="2"/>
    <x v="0"/>
    <n v="191"/>
    <n v="17.559999999999999"/>
    <n v="3353.96"/>
    <n v="2026.61"/>
    <n v="1327.35"/>
    <x v="7"/>
  </r>
  <r>
    <s v="ORD00684"/>
    <d v="2025-09-23T00:00:00"/>
    <x v="2"/>
    <x v="1"/>
    <x v="2"/>
    <n v="233"/>
    <n v="33.229999999999997"/>
    <n v="7742.59"/>
    <n v="5769.36"/>
    <n v="1973.23"/>
    <x v="9"/>
  </r>
  <r>
    <s v="ORD00685"/>
    <d v="2025-03-12T00:00:00"/>
    <x v="0"/>
    <x v="1"/>
    <x v="4"/>
    <n v="16"/>
    <n v="13.33"/>
    <n v="213.28"/>
    <n v="159.02000000000001"/>
    <n v="54.26"/>
    <x v="4"/>
  </r>
  <r>
    <s v="ORD00686"/>
    <d v="2025-01-05T00:00:00"/>
    <x v="0"/>
    <x v="2"/>
    <x v="4"/>
    <n v="54"/>
    <n v="23.91"/>
    <n v="1291.1400000000001"/>
    <n v="785.85"/>
    <n v="505.29"/>
    <x v="10"/>
  </r>
  <r>
    <s v="ORD00687"/>
    <d v="2025-06-15T00:00:00"/>
    <x v="3"/>
    <x v="2"/>
    <x v="2"/>
    <n v="183"/>
    <n v="28.74"/>
    <n v="5259.42"/>
    <n v="4086.9"/>
    <n v="1172.52"/>
    <x v="0"/>
  </r>
  <r>
    <s v="ORD00688"/>
    <d v="2025-01-04T00:00:00"/>
    <x v="1"/>
    <x v="0"/>
    <x v="3"/>
    <n v="134"/>
    <n v="16.13"/>
    <n v="2161.42"/>
    <n v="1450.14"/>
    <n v="711.28"/>
    <x v="10"/>
  </r>
  <r>
    <s v="ORD00689"/>
    <d v="2025-03-06T00:00:00"/>
    <x v="5"/>
    <x v="2"/>
    <x v="5"/>
    <n v="112"/>
    <n v="23.2"/>
    <n v="2598.4"/>
    <n v="1856.33"/>
    <n v="742.07"/>
    <x v="4"/>
  </r>
  <r>
    <s v="ORD00690"/>
    <d v="2025-08-14T00:00:00"/>
    <x v="3"/>
    <x v="0"/>
    <x v="1"/>
    <n v="44"/>
    <n v="27.1"/>
    <n v="1192.4000000000001"/>
    <n v="886.95"/>
    <n v="305.45"/>
    <x v="6"/>
  </r>
  <r>
    <s v="ORD00691"/>
    <d v="2025-11-30T00:00:00"/>
    <x v="3"/>
    <x v="2"/>
    <x v="2"/>
    <n v="132"/>
    <n v="31.5"/>
    <n v="4158"/>
    <n v="2885.29"/>
    <n v="1272.71"/>
    <x v="3"/>
  </r>
  <r>
    <s v="ORD00692"/>
    <d v="2025-03-02T00:00:00"/>
    <x v="2"/>
    <x v="0"/>
    <x v="4"/>
    <n v="264"/>
    <n v="27.97"/>
    <n v="7384.08"/>
    <n v="4523.1099999999997"/>
    <n v="2860.97"/>
    <x v="4"/>
  </r>
  <r>
    <s v="ORD00693"/>
    <d v="2025-07-20T00:00:00"/>
    <x v="5"/>
    <x v="2"/>
    <x v="5"/>
    <n v="299"/>
    <n v="33.64"/>
    <n v="10058.36"/>
    <n v="7692.28"/>
    <n v="2366.08"/>
    <x v="8"/>
  </r>
  <r>
    <s v="ORD00694"/>
    <d v="2025-11-28T00:00:00"/>
    <x v="2"/>
    <x v="0"/>
    <x v="4"/>
    <n v="29"/>
    <n v="17.28"/>
    <n v="501.12"/>
    <n v="391.67"/>
    <n v="109.45"/>
    <x v="3"/>
  </r>
  <r>
    <s v="ORD00695"/>
    <d v="2025-08-27T00:00:00"/>
    <x v="2"/>
    <x v="2"/>
    <x v="4"/>
    <n v="34"/>
    <n v="22.06"/>
    <n v="750.04"/>
    <n v="591.21"/>
    <n v="158.83000000000001"/>
    <x v="6"/>
  </r>
  <r>
    <s v="ORD00696"/>
    <d v="2025-10-12T00:00:00"/>
    <x v="1"/>
    <x v="1"/>
    <x v="4"/>
    <n v="221"/>
    <n v="17.89"/>
    <n v="3953.69"/>
    <n v="2493.52"/>
    <n v="1460.17"/>
    <x v="1"/>
  </r>
  <r>
    <s v="ORD00697"/>
    <d v="2025-12-30T00:00:00"/>
    <x v="2"/>
    <x v="2"/>
    <x v="3"/>
    <n v="59"/>
    <n v="15.61"/>
    <n v="920.99"/>
    <n v="701.25"/>
    <n v="219.74"/>
    <x v="5"/>
  </r>
  <r>
    <s v="ORD00698"/>
    <d v="2025-06-15T00:00:00"/>
    <x v="3"/>
    <x v="0"/>
    <x v="4"/>
    <n v="64"/>
    <n v="25.29"/>
    <n v="1618.56"/>
    <n v="1280.8599999999999"/>
    <n v="337.7"/>
    <x v="0"/>
  </r>
  <r>
    <s v="ORD00699"/>
    <d v="2025-01-16T00:00:00"/>
    <x v="0"/>
    <x v="2"/>
    <x v="3"/>
    <n v="294"/>
    <n v="29.45"/>
    <n v="8658.2999999999993"/>
    <n v="5343.24"/>
    <n v="3315.06"/>
    <x v="10"/>
  </r>
  <r>
    <s v="ORD00700"/>
    <d v="2025-11-01T00:00:00"/>
    <x v="0"/>
    <x v="2"/>
    <x v="0"/>
    <n v="285"/>
    <n v="12.33"/>
    <n v="3514.05"/>
    <n v="2146.5500000000002"/>
    <n v="1367.5"/>
    <x v="3"/>
  </r>
  <r>
    <s v="ORD00701"/>
    <d v="2025-08-23T00:00:00"/>
    <x v="2"/>
    <x v="0"/>
    <x v="2"/>
    <n v="213"/>
    <n v="30.12"/>
    <n v="6415.56"/>
    <n v="4567.75"/>
    <n v="1847.81"/>
    <x v="6"/>
  </r>
  <r>
    <s v="ORD00702"/>
    <d v="2025-09-17T00:00:00"/>
    <x v="5"/>
    <x v="0"/>
    <x v="5"/>
    <n v="244"/>
    <n v="16.260000000000002"/>
    <n v="3967.44"/>
    <n v="2942.36"/>
    <n v="1025.08"/>
    <x v="9"/>
  </r>
  <r>
    <s v="ORD00703"/>
    <d v="2025-08-08T00:00:00"/>
    <x v="0"/>
    <x v="1"/>
    <x v="5"/>
    <n v="66"/>
    <n v="28.38"/>
    <n v="1873.08"/>
    <n v="1156.2"/>
    <n v="716.88"/>
    <x v="6"/>
  </r>
  <r>
    <s v="ORD00704"/>
    <d v="2025-02-18T00:00:00"/>
    <x v="1"/>
    <x v="0"/>
    <x v="0"/>
    <n v="54"/>
    <n v="31.91"/>
    <n v="1723.14"/>
    <n v="1326.72"/>
    <n v="396.42"/>
    <x v="2"/>
  </r>
  <r>
    <s v="ORD00705"/>
    <d v="2025-05-21T00:00:00"/>
    <x v="3"/>
    <x v="2"/>
    <x v="3"/>
    <n v="164"/>
    <n v="19.28"/>
    <n v="3161.92"/>
    <n v="2084.16"/>
    <n v="1077.76"/>
    <x v="11"/>
  </r>
  <r>
    <s v="ORD00706"/>
    <d v="2025-06-21T00:00:00"/>
    <x v="1"/>
    <x v="2"/>
    <x v="5"/>
    <n v="108"/>
    <n v="10.210000000000001"/>
    <n v="1102.68"/>
    <n v="678.15"/>
    <n v="424.53"/>
    <x v="0"/>
  </r>
  <r>
    <s v="ORD00707"/>
    <d v="2025-11-03T00:00:00"/>
    <x v="3"/>
    <x v="2"/>
    <x v="3"/>
    <n v="119"/>
    <n v="25.6"/>
    <n v="3046.4"/>
    <n v="2105.44"/>
    <n v="940.96"/>
    <x v="3"/>
  </r>
  <r>
    <s v="ORD00708"/>
    <d v="2025-11-29T00:00:00"/>
    <x v="1"/>
    <x v="0"/>
    <x v="4"/>
    <n v="117"/>
    <n v="37.49"/>
    <n v="4386.33"/>
    <n v="3274.56"/>
    <n v="1111.77"/>
    <x v="3"/>
  </r>
  <r>
    <s v="ORD00709"/>
    <d v="2025-01-16T00:00:00"/>
    <x v="1"/>
    <x v="0"/>
    <x v="3"/>
    <n v="79"/>
    <n v="35.5"/>
    <n v="2804.5"/>
    <n v="1924.32"/>
    <n v="880.18"/>
    <x v="10"/>
  </r>
  <r>
    <s v="ORD00710"/>
    <d v="2025-05-31T00:00:00"/>
    <x v="4"/>
    <x v="1"/>
    <x v="4"/>
    <n v="236"/>
    <n v="17.66"/>
    <n v="4167.76"/>
    <n v="2612.4699999999998"/>
    <n v="1555.29"/>
    <x v="11"/>
  </r>
  <r>
    <s v="ORD00711"/>
    <d v="2025-06-16T00:00:00"/>
    <x v="5"/>
    <x v="2"/>
    <x v="1"/>
    <n v="205"/>
    <n v="12.84"/>
    <n v="2632.2"/>
    <n v="1812.47"/>
    <n v="819.73"/>
    <x v="0"/>
  </r>
  <r>
    <s v="ORD00712"/>
    <d v="2025-11-16T00:00:00"/>
    <x v="3"/>
    <x v="2"/>
    <x v="4"/>
    <n v="176"/>
    <n v="18.23"/>
    <n v="3208.48"/>
    <n v="2085.35"/>
    <n v="1123.1300000000001"/>
    <x v="3"/>
  </r>
  <r>
    <s v="ORD00713"/>
    <d v="2025-06-24T00:00:00"/>
    <x v="4"/>
    <x v="0"/>
    <x v="2"/>
    <n v="128"/>
    <n v="26.32"/>
    <n v="3368.96"/>
    <n v="2261.7800000000002"/>
    <n v="1107.18"/>
    <x v="0"/>
  </r>
  <r>
    <s v="ORD00714"/>
    <d v="2025-06-25T00:00:00"/>
    <x v="4"/>
    <x v="1"/>
    <x v="5"/>
    <n v="50"/>
    <n v="25.96"/>
    <n v="1298"/>
    <n v="806.02"/>
    <n v="491.98"/>
    <x v="0"/>
  </r>
  <r>
    <s v="ORD00715"/>
    <d v="2025-06-22T00:00:00"/>
    <x v="3"/>
    <x v="0"/>
    <x v="2"/>
    <n v="197"/>
    <n v="11.93"/>
    <n v="2350.21"/>
    <n v="1467.4"/>
    <n v="882.81"/>
    <x v="0"/>
  </r>
  <r>
    <s v="ORD00716"/>
    <d v="2025-09-29T00:00:00"/>
    <x v="3"/>
    <x v="2"/>
    <x v="5"/>
    <n v="37"/>
    <n v="29.5"/>
    <n v="1091.5"/>
    <n v="772.43"/>
    <n v="319.07"/>
    <x v="9"/>
  </r>
  <r>
    <s v="ORD00717"/>
    <d v="2025-11-20T00:00:00"/>
    <x v="1"/>
    <x v="2"/>
    <x v="0"/>
    <n v="55"/>
    <n v="29.43"/>
    <n v="1618.65"/>
    <n v="1041.78"/>
    <n v="576.87"/>
    <x v="3"/>
  </r>
  <r>
    <s v="ORD00718"/>
    <d v="2025-08-09T00:00:00"/>
    <x v="3"/>
    <x v="2"/>
    <x v="5"/>
    <n v="70"/>
    <n v="39.69"/>
    <n v="2778.3"/>
    <n v="1764.93"/>
    <n v="1013.37"/>
    <x v="6"/>
  </r>
  <r>
    <s v="ORD00719"/>
    <d v="2025-03-27T00:00:00"/>
    <x v="4"/>
    <x v="0"/>
    <x v="4"/>
    <n v="155"/>
    <n v="32.590000000000003"/>
    <n v="5051.45"/>
    <n v="3281.92"/>
    <n v="1769.53"/>
    <x v="4"/>
  </r>
  <r>
    <s v="ORD00720"/>
    <d v="2025-12-20T00:00:00"/>
    <x v="5"/>
    <x v="2"/>
    <x v="5"/>
    <n v="117"/>
    <n v="29.23"/>
    <n v="3419.91"/>
    <n v="2474.84"/>
    <n v="945.07"/>
    <x v="5"/>
  </r>
  <r>
    <s v="ORD00721"/>
    <d v="2025-10-30T00:00:00"/>
    <x v="5"/>
    <x v="1"/>
    <x v="0"/>
    <n v="82"/>
    <n v="29.68"/>
    <n v="2433.7600000000002"/>
    <n v="1751.26"/>
    <n v="682.5"/>
    <x v="1"/>
  </r>
  <r>
    <s v="ORD00722"/>
    <d v="2025-02-09T00:00:00"/>
    <x v="1"/>
    <x v="1"/>
    <x v="4"/>
    <n v="42"/>
    <n v="31.89"/>
    <n v="1339.38"/>
    <n v="947.12"/>
    <n v="392.26"/>
    <x v="2"/>
  </r>
  <r>
    <s v="ORD00723"/>
    <d v="2025-03-14T00:00:00"/>
    <x v="0"/>
    <x v="2"/>
    <x v="0"/>
    <n v="295"/>
    <n v="13.39"/>
    <n v="3950.05"/>
    <n v="2760.05"/>
    <n v="1190"/>
    <x v="4"/>
  </r>
  <r>
    <s v="ORD00724"/>
    <d v="2025-08-19T00:00:00"/>
    <x v="3"/>
    <x v="1"/>
    <x v="5"/>
    <n v="101"/>
    <n v="37"/>
    <n v="3737"/>
    <n v="2432.7399999999998"/>
    <n v="1304.26"/>
    <x v="6"/>
  </r>
  <r>
    <s v="ORD00725"/>
    <d v="2025-12-20T00:00:00"/>
    <x v="1"/>
    <x v="1"/>
    <x v="0"/>
    <n v="98"/>
    <n v="23.35"/>
    <n v="2288.3000000000002"/>
    <n v="1706.3"/>
    <n v="582"/>
    <x v="5"/>
  </r>
  <r>
    <s v="ORD00726"/>
    <d v="2025-06-15T00:00:00"/>
    <x v="2"/>
    <x v="0"/>
    <x v="2"/>
    <n v="115"/>
    <n v="10.92"/>
    <n v="1255.8"/>
    <n v="961.63"/>
    <n v="294.17"/>
    <x v="0"/>
  </r>
  <r>
    <s v="ORD00727"/>
    <d v="2025-06-29T00:00:00"/>
    <x v="2"/>
    <x v="0"/>
    <x v="4"/>
    <n v="181"/>
    <n v="18.329999999999998"/>
    <n v="3317.73"/>
    <n v="1997.14"/>
    <n v="1320.59"/>
    <x v="0"/>
  </r>
  <r>
    <s v="ORD00728"/>
    <d v="2025-03-22T00:00:00"/>
    <x v="2"/>
    <x v="1"/>
    <x v="4"/>
    <n v="169"/>
    <n v="29.84"/>
    <n v="5042.96"/>
    <n v="3207.94"/>
    <n v="1835.02"/>
    <x v="4"/>
  </r>
  <r>
    <s v="ORD00729"/>
    <d v="2025-01-30T00:00:00"/>
    <x v="0"/>
    <x v="0"/>
    <x v="4"/>
    <n v="206"/>
    <n v="17.62"/>
    <n v="3629.72"/>
    <n v="2242.4"/>
    <n v="1387.32"/>
    <x v="10"/>
  </r>
  <r>
    <s v="ORD00730"/>
    <d v="2025-02-03T00:00:00"/>
    <x v="2"/>
    <x v="1"/>
    <x v="0"/>
    <n v="161"/>
    <n v="10.44"/>
    <n v="1680.84"/>
    <n v="1295.0999999999999"/>
    <n v="385.74"/>
    <x v="2"/>
  </r>
  <r>
    <s v="ORD00731"/>
    <d v="2025-10-05T00:00:00"/>
    <x v="4"/>
    <x v="1"/>
    <x v="0"/>
    <n v="100"/>
    <n v="14.15"/>
    <n v="1415"/>
    <n v="1072"/>
    <n v="343"/>
    <x v="1"/>
  </r>
  <r>
    <s v="ORD00732"/>
    <d v="2025-03-27T00:00:00"/>
    <x v="2"/>
    <x v="1"/>
    <x v="1"/>
    <n v="277"/>
    <n v="29.9"/>
    <n v="8282.2999999999993"/>
    <n v="6414.49"/>
    <n v="1867.81"/>
    <x v="4"/>
  </r>
  <r>
    <s v="ORD00733"/>
    <d v="2025-01-16T00:00:00"/>
    <x v="3"/>
    <x v="1"/>
    <x v="2"/>
    <n v="124"/>
    <n v="29.46"/>
    <n v="3653.04"/>
    <n v="2839.6"/>
    <n v="813.44"/>
    <x v="10"/>
  </r>
  <r>
    <s v="ORD00734"/>
    <d v="2025-11-25T00:00:00"/>
    <x v="1"/>
    <x v="2"/>
    <x v="1"/>
    <n v="251"/>
    <n v="17.89"/>
    <n v="4490.3900000000003"/>
    <n v="2701"/>
    <n v="1789.39"/>
    <x v="3"/>
  </r>
  <r>
    <s v="ORD00735"/>
    <d v="2025-07-09T00:00:00"/>
    <x v="3"/>
    <x v="0"/>
    <x v="4"/>
    <n v="130"/>
    <n v="18.46"/>
    <n v="2399.8000000000002"/>
    <n v="1666.7"/>
    <n v="733.1"/>
    <x v="8"/>
  </r>
  <r>
    <s v="ORD00736"/>
    <d v="2025-08-24T00:00:00"/>
    <x v="1"/>
    <x v="1"/>
    <x v="1"/>
    <n v="294"/>
    <n v="31.35"/>
    <n v="9216.9"/>
    <n v="5702.93"/>
    <n v="3513.97"/>
    <x v="6"/>
  </r>
  <r>
    <s v="ORD00737"/>
    <d v="2025-03-30T00:00:00"/>
    <x v="2"/>
    <x v="0"/>
    <x v="0"/>
    <n v="128"/>
    <n v="22.77"/>
    <n v="2914.56"/>
    <n v="1784.13"/>
    <n v="1130.43"/>
    <x v="4"/>
  </r>
  <r>
    <s v="ORD00738"/>
    <d v="2025-07-04T00:00:00"/>
    <x v="0"/>
    <x v="0"/>
    <x v="4"/>
    <n v="237"/>
    <n v="24.08"/>
    <n v="5706.96"/>
    <n v="4493.1899999999996"/>
    <n v="1213.77"/>
    <x v="8"/>
  </r>
  <r>
    <s v="ORD00739"/>
    <d v="2025-09-18T00:00:00"/>
    <x v="0"/>
    <x v="1"/>
    <x v="4"/>
    <n v="123"/>
    <n v="24.52"/>
    <n v="3015.96"/>
    <n v="1939.78"/>
    <n v="1076.18"/>
    <x v="9"/>
  </r>
  <r>
    <s v="ORD00740"/>
    <d v="2025-01-31T00:00:00"/>
    <x v="2"/>
    <x v="2"/>
    <x v="0"/>
    <n v="231"/>
    <n v="25.75"/>
    <n v="5948.25"/>
    <n v="3854.15"/>
    <n v="2094.1"/>
    <x v="10"/>
  </r>
  <r>
    <s v="ORD00741"/>
    <d v="2025-04-19T00:00:00"/>
    <x v="3"/>
    <x v="2"/>
    <x v="2"/>
    <n v="61"/>
    <n v="12.49"/>
    <n v="761.89"/>
    <n v="497.56"/>
    <n v="264.33"/>
    <x v="7"/>
  </r>
  <r>
    <s v="ORD00742"/>
    <d v="2025-02-08T00:00:00"/>
    <x v="4"/>
    <x v="2"/>
    <x v="0"/>
    <n v="241"/>
    <n v="28.93"/>
    <n v="6972.13"/>
    <n v="4319.84"/>
    <n v="2652.29"/>
    <x v="2"/>
  </r>
  <r>
    <s v="ORD00743"/>
    <d v="2025-02-04T00:00:00"/>
    <x v="4"/>
    <x v="0"/>
    <x v="3"/>
    <n v="71"/>
    <n v="31.1"/>
    <n v="2208.1"/>
    <n v="1534.62"/>
    <n v="673.48"/>
    <x v="2"/>
  </r>
  <r>
    <s v="ORD00744"/>
    <d v="2025-01-06T00:00:00"/>
    <x v="5"/>
    <x v="2"/>
    <x v="4"/>
    <n v="273"/>
    <n v="37.08"/>
    <n v="10122.84"/>
    <n v="7376.64"/>
    <n v="2746.2"/>
    <x v="10"/>
  </r>
  <r>
    <s v="ORD00745"/>
    <d v="2025-10-03T00:00:00"/>
    <x v="2"/>
    <x v="2"/>
    <x v="0"/>
    <n v="129"/>
    <n v="33.18"/>
    <n v="4280.22"/>
    <n v="3136.93"/>
    <n v="1143.29"/>
    <x v="1"/>
  </r>
  <r>
    <s v="ORD00746"/>
    <d v="2025-03-16T00:00:00"/>
    <x v="5"/>
    <x v="0"/>
    <x v="0"/>
    <n v="208"/>
    <n v="34.11"/>
    <n v="7094.88"/>
    <n v="5598.68"/>
    <n v="1496.2"/>
    <x v="4"/>
  </r>
  <r>
    <s v="ORD00747"/>
    <d v="2025-12-03T00:00:00"/>
    <x v="3"/>
    <x v="2"/>
    <x v="4"/>
    <n v="103"/>
    <n v="30.99"/>
    <n v="3191.97"/>
    <n v="1925.18"/>
    <n v="1266.79"/>
    <x v="5"/>
  </r>
  <r>
    <s v="ORD00748"/>
    <d v="2025-08-19T00:00:00"/>
    <x v="2"/>
    <x v="0"/>
    <x v="0"/>
    <n v="121"/>
    <n v="35.5"/>
    <n v="4295.5"/>
    <n v="2822.29"/>
    <n v="1473.21"/>
    <x v="6"/>
  </r>
  <r>
    <s v="ORD00749"/>
    <d v="2025-06-10T00:00:00"/>
    <x v="5"/>
    <x v="0"/>
    <x v="4"/>
    <n v="112"/>
    <n v="38.18"/>
    <n v="4276.16"/>
    <n v="2909.49"/>
    <n v="1366.67"/>
    <x v="0"/>
  </r>
  <r>
    <s v="ORD00750"/>
    <d v="2025-07-04T00:00:00"/>
    <x v="0"/>
    <x v="2"/>
    <x v="1"/>
    <n v="257"/>
    <n v="16.989999999999998"/>
    <n v="4366.43"/>
    <n v="3036.46"/>
    <n v="1329.97"/>
    <x v="8"/>
  </r>
  <r>
    <s v="ORD00751"/>
    <d v="2025-12-11T00:00:00"/>
    <x v="3"/>
    <x v="0"/>
    <x v="0"/>
    <n v="118"/>
    <n v="28.64"/>
    <n v="3379.52"/>
    <n v="2173.96"/>
    <n v="1205.56"/>
    <x v="5"/>
  </r>
  <r>
    <s v="ORD00752"/>
    <d v="2025-08-22T00:00:00"/>
    <x v="4"/>
    <x v="0"/>
    <x v="1"/>
    <n v="148"/>
    <n v="16.79"/>
    <n v="2484.92"/>
    <n v="1968.66"/>
    <n v="516.26"/>
    <x v="6"/>
  </r>
  <r>
    <s v="ORD00753"/>
    <d v="2025-04-01T00:00:00"/>
    <x v="0"/>
    <x v="1"/>
    <x v="2"/>
    <n v="185"/>
    <n v="22.39"/>
    <n v="4142.1499999999996"/>
    <n v="3072.59"/>
    <n v="1069.56"/>
    <x v="7"/>
  </r>
  <r>
    <s v="ORD00754"/>
    <d v="2025-05-03T00:00:00"/>
    <x v="0"/>
    <x v="1"/>
    <x v="1"/>
    <n v="10"/>
    <n v="14.64"/>
    <n v="146.4"/>
    <n v="111.61"/>
    <n v="34.79"/>
    <x v="11"/>
  </r>
  <r>
    <s v="ORD00755"/>
    <d v="2025-10-15T00:00:00"/>
    <x v="2"/>
    <x v="2"/>
    <x v="4"/>
    <n v="290"/>
    <n v="31.35"/>
    <n v="9091.5"/>
    <n v="5705.26"/>
    <n v="3386.24"/>
    <x v="1"/>
  </r>
  <r>
    <s v="ORD00756"/>
    <d v="2025-05-21T00:00:00"/>
    <x v="0"/>
    <x v="0"/>
    <x v="3"/>
    <n v="223"/>
    <n v="14.47"/>
    <n v="3226.81"/>
    <n v="2024.55"/>
    <n v="1202.26"/>
    <x v="11"/>
  </r>
  <r>
    <s v="ORD00757"/>
    <d v="2025-06-14T00:00:00"/>
    <x v="1"/>
    <x v="2"/>
    <x v="1"/>
    <n v="39"/>
    <n v="15.03"/>
    <n v="586.16999999999996"/>
    <n v="401.27"/>
    <n v="184.9"/>
    <x v="0"/>
  </r>
  <r>
    <s v="ORD00758"/>
    <d v="2025-07-29T00:00:00"/>
    <x v="2"/>
    <x v="2"/>
    <x v="0"/>
    <n v="139"/>
    <n v="36.65"/>
    <n v="5094.3500000000004"/>
    <n v="3730.8"/>
    <n v="1363.55"/>
    <x v="8"/>
  </r>
  <r>
    <s v="ORD00759"/>
    <d v="2025-12-31T00:00:00"/>
    <x v="1"/>
    <x v="0"/>
    <x v="0"/>
    <n v="218"/>
    <n v="12.85"/>
    <n v="2801.3"/>
    <n v="1924.82"/>
    <n v="876.48"/>
    <x v="5"/>
  </r>
  <r>
    <s v="ORD00760"/>
    <d v="2025-02-06T00:00:00"/>
    <x v="2"/>
    <x v="1"/>
    <x v="4"/>
    <n v="157"/>
    <n v="32.6"/>
    <n v="5118.2"/>
    <n v="3250.24"/>
    <n v="1867.96"/>
    <x v="2"/>
  </r>
  <r>
    <s v="ORD00761"/>
    <d v="2025-09-29T00:00:00"/>
    <x v="5"/>
    <x v="2"/>
    <x v="3"/>
    <n v="202"/>
    <n v="35.46"/>
    <n v="7162.92"/>
    <n v="5453.91"/>
    <n v="1709.01"/>
    <x v="9"/>
  </r>
  <r>
    <s v="ORD00762"/>
    <d v="2025-10-26T00:00:00"/>
    <x v="0"/>
    <x v="2"/>
    <x v="5"/>
    <n v="69"/>
    <n v="23.39"/>
    <n v="1613.91"/>
    <n v="1129.6099999999999"/>
    <n v="484.3"/>
    <x v="1"/>
  </r>
  <r>
    <s v="ORD00763"/>
    <d v="2025-07-09T00:00:00"/>
    <x v="1"/>
    <x v="2"/>
    <x v="0"/>
    <n v="277"/>
    <n v="38.869999999999997"/>
    <n v="10766.99"/>
    <n v="6875.12"/>
    <n v="3891.87"/>
    <x v="8"/>
  </r>
  <r>
    <s v="ORD00764"/>
    <d v="2025-10-20T00:00:00"/>
    <x v="4"/>
    <x v="2"/>
    <x v="2"/>
    <n v="205"/>
    <n v="15.45"/>
    <n v="3167.25"/>
    <n v="2338.7600000000002"/>
    <n v="828.49"/>
    <x v="1"/>
  </r>
  <r>
    <s v="ORD00765"/>
    <d v="2025-07-30T00:00:00"/>
    <x v="1"/>
    <x v="2"/>
    <x v="5"/>
    <n v="197"/>
    <n v="38.69"/>
    <n v="7621.93"/>
    <n v="4965.59"/>
    <n v="2656.34"/>
    <x v="8"/>
  </r>
  <r>
    <s v="ORD00766"/>
    <d v="2025-01-30T00:00:00"/>
    <x v="1"/>
    <x v="1"/>
    <x v="1"/>
    <n v="251"/>
    <n v="16.37"/>
    <n v="4108.87"/>
    <n v="2734.96"/>
    <n v="1373.91"/>
    <x v="10"/>
  </r>
  <r>
    <s v="ORD00767"/>
    <d v="2025-06-24T00:00:00"/>
    <x v="2"/>
    <x v="1"/>
    <x v="4"/>
    <n v="102"/>
    <n v="23.97"/>
    <n v="2444.94"/>
    <n v="1625.53"/>
    <n v="819.41"/>
    <x v="0"/>
  </r>
  <r>
    <s v="ORD00768"/>
    <d v="2025-04-17T00:00:00"/>
    <x v="5"/>
    <x v="0"/>
    <x v="0"/>
    <n v="287"/>
    <n v="22.27"/>
    <n v="6391.49"/>
    <n v="5064.09"/>
    <n v="1327.4"/>
    <x v="7"/>
  </r>
  <r>
    <s v="ORD00769"/>
    <d v="2025-12-29T00:00:00"/>
    <x v="4"/>
    <x v="0"/>
    <x v="2"/>
    <n v="194"/>
    <n v="21.4"/>
    <n v="4151.6000000000004"/>
    <n v="2901.42"/>
    <n v="1250.18"/>
    <x v="5"/>
  </r>
  <r>
    <s v="ORD00770"/>
    <d v="2025-11-24T00:00:00"/>
    <x v="0"/>
    <x v="0"/>
    <x v="1"/>
    <n v="120"/>
    <n v="36.369999999999997"/>
    <n v="4364.3999999999996"/>
    <n v="2717.36"/>
    <n v="1647.04"/>
    <x v="3"/>
  </r>
  <r>
    <s v="ORD00771"/>
    <d v="2025-11-12T00:00:00"/>
    <x v="3"/>
    <x v="1"/>
    <x v="3"/>
    <n v="225"/>
    <n v="29.39"/>
    <n v="6612.75"/>
    <n v="4588.68"/>
    <n v="2024.07"/>
    <x v="3"/>
  </r>
  <r>
    <s v="ORD00772"/>
    <d v="2025-10-05T00:00:00"/>
    <x v="4"/>
    <x v="0"/>
    <x v="1"/>
    <n v="192"/>
    <n v="20.350000000000001"/>
    <n v="3907.2"/>
    <n v="2936.98"/>
    <n v="970.22"/>
    <x v="1"/>
  </r>
  <r>
    <s v="ORD00773"/>
    <d v="2025-12-21T00:00:00"/>
    <x v="3"/>
    <x v="1"/>
    <x v="4"/>
    <n v="19"/>
    <n v="30.29"/>
    <n v="575.51"/>
    <n v="435.2"/>
    <n v="140.31"/>
    <x v="5"/>
  </r>
  <r>
    <s v="ORD00774"/>
    <d v="2025-11-19T00:00:00"/>
    <x v="5"/>
    <x v="0"/>
    <x v="5"/>
    <n v="159"/>
    <n v="35.07"/>
    <n v="5576.13"/>
    <n v="4061.75"/>
    <n v="1514.38"/>
    <x v="3"/>
  </r>
  <r>
    <s v="ORD00775"/>
    <d v="2025-10-31T00:00:00"/>
    <x v="5"/>
    <x v="1"/>
    <x v="2"/>
    <n v="110"/>
    <n v="21.08"/>
    <n v="2318.8000000000002"/>
    <n v="1785.61"/>
    <n v="533.19000000000005"/>
    <x v="1"/>
  </r>
  <r>
    <s v="ORD00776"/>
    <d v="2025-02-03T00:00:00"/>
    <x v="0"/>
    <x v="0"/>
    <x v="2"/>
    <n v="242"/>
    <n v="35.49"/>
    <n v="8588.58"/>
    <n v="6656.37"/>
    <n v="1932.21"/>
    <x v="2"/>
  </r>
  <r>
    <s v="ORD00777"/>
    <d v="2025-01-08T00:00:00"/>
    <x v="1"/>
    <x v="0"/>
    <x v="4"/>
    <n v="283"/>
    <n v="22.37"/>
    <n v="6330.71"/>
    <n v="4508.3"/>
    <n v="1822.41"/>
    <x v="10"/>
  </r>
  <r>
    <s v="ORD00778"/>
    <d v="2025-03-30T00:00:00"/>
    <x v="2"/>
    <x v="0"/>
    <x v="0"/>
    <n v="53"/>
    <n v="30.88"/>
    <n v="1636.64"/>
    <n v="983.27"/>
    <n v="653.37"/>
    <x v="4"/>
  </r>
  <r>
    <s v="ORD00779"/>
    <d v="2025-12-31T00:00:00"/>
    <x v="1"/>
    <x v="0"/>
    <x v="2"/>
    <n v="131"/>
    <n v="10.58"/>
    <n v="1385.98"/>
    <n v="863.25"/>
    <n v="522.73"/>
    <x v="5"/>
  </r>
  <r>
    <s v="ORD00780"/>
    <d v="2025-08-29T00:00:00"/>
    <x v="4"/>
    <x v="1"/>
    <x v="5"/>
    <n v="181"/>
    <n v="12.2"/>
    <n v="2208.1999999999998"/>
    <n v="1479.02"/>
    <n v="729.18"/>
    <x v="6"/>
  </r>
  <r>
    <s v="ORD00781"/>
    <d v="2025-09-03T00:00:00"/>
    <x v="4"/>
    <x v="0"/>
    <x v="0"/>
    <n v="142"/>
    <n v="19.989999999999998"/>
    <n v="2838.58"/>
    <n v="2229.5500000000002"/>
    <n v="609.03"/>
    <x v="9"/>
  </r>
  <r>
    <s v="ORD00782"/>
    <d v="2025-02-16T00:00:00"/>
    <x v="4"/>
    <x v="0"/>
    <x v="5"/>
    <n v="42"/>
    <n v="28.72"/>
    <n v="1206.24"/>
    <n v="891.8"/>
    <n v="314.44"/>
    <x v="2"/>
  </r>
  <r>
    <s v="ORD00783"/>
    <d v="2025-06-18T00:00:00"/>
    <x v="0"/>
    <x v="2"/>
    <x v="4"/>
    <n v="184"/>
    <n v="25.05"/>
    <n v="4609.2"/>
    <n v="2895.56"/>
    <n v="1713.64"/>
    <x v="0"/>
  </r>
  <r>
    <s v="ORD00784"/>
    <d v="2025-03-20T00:00:00"/>
    <x v="2"/>
    <x v="1"/>
    <x v="4"/>
    <n v="226"/>
    <n v="21.56"/>
    <n v="4872.5600000000004"/>
    <n v="3622.27"/>
    <n v="1250.29"/>
    <x v="4"/>
  </r>
  <r>
    <s v="ORD00785"/>
    <d v="2025-08-30T00:00:00"/>
    <x v="5"/>
    <x v="1"/>
    <x v="1"/>
    <n v="58"/>
    <n v="11.97"/>
    <n v="694.26"/>
    <n v="437.7"/>
    <n v="256.56"/>
    <x v="6"/>
  </r>
  <r>
    <s v="ORD00786"/>
    <d v="2025-04-29T00:00:00"/>
    <x v="3"/>
    <x v="0"/>
    <x v="4"/>
    <n v="57"/>
    <n v="34.75"/>
    <n v="1980.75"/>
    <n v="1375.39"/>
    <n v="605.36"/>
    <x v="7"/>
  </r>
  <r>
    <s v="ORD00787"/>
    <d v="2025-04-09T00:00:00"/>
    <x v="2"/>
    <x v="1"/>
    <x v="3"/>
    <n v="120"/>
    <n v="13.24"/>
    <n v="1588.8"/>
    <n v="1154.73"/>
    <n v="434.07"/>
    <x v="7"/>
  </r>
  <r>
    <s v="ORD00788"/>
    <d v="2025-08-05T00:00:00"/>
    <x v="1"/>
    <x v="0"/>
    <x v="5"/>
    <n v="277"/>
    <n v="25.99"/>
    <n v="7199.23"/>
    <n v="5362.6"/>
    <n v="1836.63"/>
    <x v="6"/>
  </r>
  <r>
    <s v="ORD00789"/>
    <d v="2025-01-13T00:00:00"/>
    <x v="5"/>
    <x v="2"/>
    <x v="1"/>
    <n v="123"/>
    <n v="25.38"/>
    <n v="3121.74"/>
    <n v="2005.07"/>
    <n v="1116.67"/>
    <x v="10"/>
  </r>
  <r>
    <s v="ORD00790"/>
    <d v="2025-11-11T00:00:00"/>
    <x v="4"/>
    <x v="2"/>
    <x v="0"/>
    <n v="108"/>
    <n v="37.049999999999997"/>
    <n v="4001.4"/>
    <n v="2564.61"/>
    <n v="1436.79"/>
    <x v="3"/>
  </r>
  <r>
    <s v="ORD00791"/>
    <d v="2025-03-09T00:00:00"/>
    <x v="4"/>
    <x v="2"/>
    <x v="5"/>
    <n v="90"/>
    <n v="11.86"/>
    <n v="1067.4000000000001"/>
    <n v="739.27"/>
    <n v="328.13"/>
    <x v="4"/>
  </r>
  <r>
    <s v="ORD00792"/>
    <d v="2025-12-15T00:00:00"/>
    <x v="4"/>
    <x v="0"/>
    <x v="3"/>
    <n v="168"/>
    <n v="21.9"/>
    <n v="3679.2"/>
    <n v="2592.3000000000002"/>
    <n v="1086.9000000000001"/>
    <x v="5"/>
  </r>
  <r>
    <s v="ORD00793"/>
    <d v="2025-06-11T00:00:00"/>
    <x v="2"/>
    <x v="0"/>
    <x v="2"/>
    <n v="55"/>
    <n v="18.8"/>
    <n v="1034"/>
    <n v="687.62"/>
    <n v="346.38"/>
    <x v="0"/>
  </r>
  <r>
    <s v="ORD00794"/>
    <d v="2025-11-19T00:00:00"/>
    <x v="1"/>
    <x v="2"/>
    <x v="5"/>
    <n v="135"/>
    <n v="23.85"/>
    <n v="3219.75"/>
    <n v="2059.16"/>
    <n v="1160.5899999999999"/>
    <x v="3"/>
  </r>
  <r>
    <s v="ORD00795"/>
    <d v="2025-09-24T00:00:00"/>
    <x v="4"/>
    <x v="0"/>
    <x v="4"/>
    <n v="195"/>
    <n v="30.57"/>
    <n v="5961.15"/>
    <n v="4144.74"/>
    <n v="1816.41"/>
    <x v="9"/>
  </r>
  <r>
    <s v="ORD00796"/>
    <d v="2025-12-04T00:00:00"/>
    <x v="1"/>
    <x v="1"/>
    <x v="5"/>
    <n v="45"/>
    <n v="28.71"/>
    <n v="1291.95"/>
    <n v="888.16"/>
    <n v="403.79"/>
    <x v="5"/>
  </r>
  <r>
    <s v="ORD00797"/>
    <d v="2025-09-20T00:00:00"/>
    <x v="5"/>
    <x v="1"/>
    <x v="5"/>
    <n v="123"/>
    <n v="23.49"/>
    <n v="2889.27"/>
    <n v="2226.06"/>
    <n v="663.21"/>
    <x v="9"/>
  </r>
  <r>
    <s v="ORD00798"/>
    <d v="2025-07-10T00:00:00"/>
    <x v="4"/>
    <x v="2"/>
    <x v="4"/>
    <n v="283"/>
    <n v="23.41"/>
    <n v="6625.03"/>
    <n v="5204.05"/>
    <n v="1420.98"/>
    <x v="8"/>
  </r>
  <r>
    <s v="ORD00799"/>
    <d v="2025-02-23T00:00:00"/>
    <x v="2"/>
    <x v="0"/>
    <x v="3"/>
    <n v="243"/>
    <n v="12.64"/>
    <n v="3071.52"/>
    <n v="2409.58"/>
    <n v="661.94"/>
    <x v="2"/>
  </r>
  <r>
    <s v="ORD00800"/>
    <d v="2025-03-08T00:00:00"/>
    <x v="4"/>
    <x v="2"/>
    <x v="4"/>
    <n v="42"/>
    <n v="23.98"/>
    <n v="1007.16"/>
    <n v="729.05"/>
    <n v="278.11"/>
    <x v="4"/>
  </r>
  <r>
    <s v="ORD00801"/>
    <d v="2025-12-05T00:00:00"/>
    <x v="3"/>
    <x v="2"/>
    <x v="4"/>
    <n v="184"/>
    <n v="23.12"/>
    <n v="4254.08"/>
    <n v="2625.36"/>
    <n v="1628.72"/>
    <x v="5"/>
  </r>
  <r>
    <s v="ORD00802"/>
    <d v="2025-01-27T00:00:00"/>
    <x v="2"/>
    <x v="2"/>
    <x v="4"/>
    <n v="26"/>
    <n v="18.64"/>
    <n v="484.64"/>
    <n v="365.22"/>
    <n v="119.42"/>
    <x v="10"/>
  </r>
  <r>
    <s v="ORD00803"/>
    <d v="2025-12-25T00:00:00"/>
    <x v="0"/>
    <x v="1"/>
    <x v="2"/>
    <n v="46"/>
    <n v="19.48"/>
    <n v="896.08"/>
    <n v="684.34"/>
    <n v="211.74"/>
    <x v="5"/>
  </r>
  <r>
    <s v="ORD00804"/>
    <d v="2025-05-03T00:00:00"/>
    <x v="5"/>
    <x v="1"/>
    <x v="0"/>
    <n v="98"/>
    <n v="21.61"/>
    <n v="2117.7800000000002"/>
    <n v="1612.44"/>
    <n v="505.34"/>
    <x v="11"/>
  </r>
  <r>
    <s v="ORD00805"/>
    <d v="2025-03-05T00:00:00"/>
    <x v="1"/>
    <x v="1"/>
    <x v="5"/>
    <n v="134"/>
    <n v="23.74"/>
    <n v="3181.16"/>
    <n v="2259.85"/>
    <n v="921.31"/>
    <x v="4"/>
  </r>
  <r>
    <s v="ORD00806"/>
    <d v="2025-07-17T00:00:00"/>
    <x v="4"/>
    <x v="1"/>
    <x v="1"/>
    <n v="252"/>
    <n v="16.79"/>
    <n v="4231.08"/>
    <n v="2695.16"/>
    <n v="1535.92"/>
    <x v="8"/>
  </r>
  <r>
    <s v="ORD00807"/>
    <d v="2025-04-14T00:00:00"/>
    <x v="3"/>
    <x v="0"/>
    <x v="3"/>
    <n v="76"/>
    <n v="32.47"/>
    <n v="2467.7199999999998"/>
    <n v="1932.48"/>
    <n v="535.24"/>
    <x v="7"/>
  </r>
  <r>
    <s v="ORD00808"/>
    <d v="2025-06-23T00:00:00"/>
    <x v="5"/>
    <x v="0"/>
    <x v="3"/>
    <n v="136"/>
    <n v="10.83"/>
    <n v="1472.88"/>
    <n v="1034.79"/>
    <n v="438.09"/>
    <x v="0"/>
  </r>
  <r>
    <s v="ORD00809"/>
    <d v="2025-06-14T00:00:00"/>
    <x v="4"/>
    <x v="2"/>
    <x v="2"/>
    <n v="170"/>
    <n v="15.18"/>
    <n v="2580.6"/>
    <n v="1932.74"/>
    <n v="647.86"/>
    <x v="0"/>
  </r>
  <r>
    <s v="ORD00810"/>
    <d v="2025-12-04T00:00:00"/>
    <x v="2"/>
    <x v="2"/>
    <x v="0"/>
    <n v="224"/>
    <n v="11.69"/>
    <n v="2618.56"/>
    <n v="1571.2"/>
    <n v="1047.3599999999999"/>
    <x v="5"/>
  </r>
  <r>
    <s v="ORD00811"/>
    <d v="2025-01-06T00:00:00"/>
    <x v="4"/>
    <x v="0"/>
    <x v="0"/>
    <n v="140"/>
    <n v="28.2"/>
    <n v="3948"/>
    <n v="3078.97"/>
    <n v="869.03"/>
    <x v="10"/>
  </r>
  <r>
    <s v="ORD00812"/>
    <d v="2025-05-17T00:00:00"/>
    <x v="3"/>
    <x v="1"/>
    <x v="0"/>
    <n v="197"/>
    <n v="19.05"/>
    <n v="3752.85"/>
    <n v="2715.43"/>
    <n v="1037.42"/>
    <x v="11"/>
  </r>
  <r>
    <s v="ORD00813"/>
    <d v="2025-02-26T00:00:00"/>
    <x v="5"/>
    <x v="2"/>
    <x v="2"/>
    <n v="126"/>
    <n v="10.38"/>
    <n v="1307.8800000000001"/>
    <n v="961.5"/>
    <n v="346.38"/>
    <x v="2"/>
  </r>
  <r>
    <s v="ORD00814"/>
    <d v="2025-11-26T00:00:00"/>
    <x v="2"/>
    <x v="1"/>
    <x v="0"/>
    <n v="36"/>
    <n v="39.72"/>
    <n v="1429.92"/>
    <n v="1066.17"/>
    <n v="363.75"/>
    <x v="3"/>
  </r>
  <r>
    <s v="ORD00815"/>
    <d v="2025-09-16T00:00:00"/>
    <x v="2"/>
    <x v="0"/>
    <x v="3"/>
    <n v="176"/>
    <n v="21.42"/>
    <n v="3769.92"/>
    <n v="2895.07"/>
    <n v="874.85"/>
    <x v="9"/>
  </r>
  <r>
    <s v="ORD00816"/>
    <d v="2025-06-22T00:00:00"/>
    <x v="4"/>
    <x v="0"/>
    <x v="5"/>
    <n v="38"/>
    <n v="20.36"/>
    <n v="773.68"/>
    <n v="594.78"/>
    <n v="178.9"/>
    <x v="0"/>
  </r>
  <r>
    <s v="ORD00817"/>
    <d v="2025-12-13T00:00:00"/>
    <x v="0"/>
    <x v="1"/>
    <x v="0"/>
    <n v="287"/>
    <n v="29.57"/>
    <n v="8486.59"/>
    <n v="5173.43"/>
    <n v="3313.16"/>
    <x v="5"/>
  </r>
  <r>
    <s v="ORD00818"/>
    <d v="2025-08-29T00:00:00"/>
    <x v="2"/>
    <x v="2"/>
    <x v="0"/>
    <n v="246"/>
    <n v="33.47"/>
    <n v="8233.6200000000008"/>
    <n v="6372.57"/>
    <n v="1861.05"/>
    <x v="6"/>
  </r>
  <r>
    <s v="ORD00819"/>
    <d v="2025-07-04T00:00:00"/>
    <x v="1"/>
    <x v="0"/>
    <x v="2"/>
    <n v="137"/>
    <n v="11.92"/>
    <n v="1633.04"/>
    <n v="1018.48"/>
    <n v="614.55999999999995"/>
    <x v="8"/>
  </r>
  <r>
    <s v="ORD00820"/>
    <d v="2025-07-09T00:00:00"/>
    <x v="1"/>
    <x v="0"/>
    <x v="1"/>
    <n v="46"/>
    <n v="28.45"/>
    <n v="1308.7"/>
    <n v="915.53"/>
    <n v="393.17"/>
    <x v="8"/>
  </r>
  <r>
    <s v="ORD00821"/>
    <d v="2025-11-24T00:00:00"/>
    <x v="3"/>
    <x v="1"/>
    <x v="5"/>
    <n v="215"/>
    <n v="19.329999999999998"/>
    <n v="4155.95"/>
    <n v="2889.76"/>
    <n v="1266.19"/>
    <x v="3"/>
  </r>
  <r>
    <s v="ORD00822"/>
    <d v="2025-11-20T00:00:00"/>
    <x v="4"/>
    <x v="2"/>
    <x v="0"/>
    <n v="250"/>
    <n v="19.559999999999999"/>
    <n v="4890"/>
    <n v="3271.37"/>
    <n v="1618.63"/>
    <x v="3"/>
  </r>
  <r>
    <s v="ORD00823"/>
    <d v="2025-10-21T00:00:00"/>
    <x v="0"/>
    <x v="0"/>
    <x v="1"/>
    <n v="64"/>
    <n v="28"/>
    <n v="1792"/>
    <n v="1432.8"/>
    <n v="359.2"/>
    <x v="1"/>
  </r>
  <r>
    <s v="ORD00824"/>
    <d v="2025-08-17T00:00:00"/>
    <x v="2"/>
    <x v="0"/>
    <x v="2"/>
    <n v="223"/>
    <n v="10.35"/>
    <n v="2308.0500000000002"/>
    <n v="1826.02"/>
    <n v="482.03"/>
    <x v="6"/>
  </r>
  <r>
    <s v="ORD00825"/>
    <d v="2025-07-05T00:00:00"/>
    <x v="5"/>
    <x v="0"/>
    <x v="5"/>
    <n v="287"/>
    <n v="20.9"/>
    <n v="5998.3"/>
    <n v="4749.05"/>
    <n v="1249.25"/>
    <x v="8"/>
  </r>
  <r>
    <s v="ORD00826"/>
    <d v="2025-10-19T00:00:00"/>
    <x v="1"/>
    <x v="2"/>
    <x v="2"/>
    <n v="27"/>
    <n v="23.85"/>
    <n v="643.95000000000005"/>
    <n v="459.68"/>
    <n v="184.27"/>
    <x v="1"/>
  </r>
  <r>
    <s v="ORD00827"/>
    <d v="2025-08-08T00:00:00"/>
    <x v="0"/>
    <x v="2"/>
    <x v="0"/>
    <n v="57"/>
    <n v="15.51"/>
    <n v="884.07"/>
    <n v="581.89"/>
    <n v="302.18"/>
    <x v="6"/>
  </r>
  <r>
    <s v="ORD00828"/>
    <d v="2025-02-21T00:00:00"/>
    <x v="1"/>
    <x v="0"/>
    <x v="0"/>
    <n v="123"/>
    <n v="33.82"/>
    <n v="4159.8599999999997"/>
    <n v="2998.25"/>
    <n v="1161.6099999999999"/>
    <x v="2"/>
  </r>
  <r>
    <s v="ORD00829"/>
    <d v="2025-08-10T00:00:00"/>
    <x v="3"/>
    <x v="0"/>
    <x v="0"/>
    <n v="90"/>
    <n v="21.42"/>
    <n v="1927.8"/>
    <n v="1430.37"/>
    <n v="497.43"/>
    <x v="6"/>
  </r>
  <r>
    <s v="ORD00830"/>
    <d v="2025-06-04T00:00:00"/>
    <x v="3"/>
    <x v="2"/>
    <x v="3"/>
    <n v="178"/>
    <n v="25.47"/>
    <n v="4533.66"/>
    <n v="3601.99"/>
    <n v="931.67"/>
    <x v="0"/>
  </r>
  <r>
    <s v="ORD00831"/>
    <d v="2025-01-06T00:00:00"/>
    <x v="0"/>
    <x v="0"/>
    <x v="2"/>
    <n v="83"/>
    <n v="28.15"/>
    <n v="2336.4499999999998"/>
    <n v="1578.5"/>
    <n v="757.95"/>
    <x v="10"/>
  </r>
  <r>
    <s v="ORD00832"/>
    <d v="2025-01-09T00:00:00"/>
    <x v="0"/>
    <x v="1"/>
    <x v="4"/>
    <n v="292"/>
    <n v="36.369999999999997"/>
    <n v="10620.04"/>
    <n v="6611.62"/>
    <n v="4008.42"/>
    <x v="10"/>
  </r>
  <r>
    <s v="ORD00833"/>
    <d v="2025-01-29T00:00:00"/>
    <x v="5"/>
    <x v="2"/>
    <x v="2"/>
    <n v="116"/>
    <n v="25.15"/>
    <n v="2917.4"/>
    <n v="2276.37"/>
    <n v="641.03"/>
    <x v="10"/>
  </r>
  <r>
    <s v="ORD00834"/>
    <d v="2025-09-19T00:00:00"/>
    <x v="2"/>
    <x v="0"/>
    <x v="5"/>
    <n v="246"/>
    <n v="37.979999999999997"/>
    <n v="9343.08"/>
    <n v="6652.21"/>
    <n v="2690.87"/>
    <x v="9"/>
  </r>
  <r>
    <s v="ORD00835"/>
    <d v="2025-08-13T00:00:00"/>
    <x v="4"/>
    <x v="2"/>
    <x v="0"/>
    <n v="25"/>
    <n v="22.72"/>
    <n v="568"/>
    <n v="409.2"/>
    <n v="158.80000000000001"/>
    <x v="6"/>
  </r>
  <r>
    <s v="ORD00836"/>
    <d v="2025-04-30T00:00:00"/>
    <x v="1"/>
    <x v="0"/>
    <x v="4"/>
    <n v="225"/>
    <n v="16.489999999999998"/>
    <n v="3710.25"/>
    <n v="2692.51"/>
    <n v="1017.74"/>
    <x v="7"/>
  </r>
  <r>
    <s v="ORD00837"/>
    <d v="2025-06-24T00:00:00"/>
    <x v="4"/>
    <x v="0"/>
    <x v="3"/>
    <n v="94"/>
    <n v="32.450000000000003"/>
    <n v="3050.3"/>
    <n v="1974.8"/>
    <n v="1075.5"/>
    <x v="0"/>
  </r>
  <r>
    <s v="ORD00838"/>
    <d v="2025-03-31T00:00:00"/>
    <x v="2"/>
    <x v="2"/>
    <x v="5"/>
    <n v="128"/>
    <n v="28.09"/>
    <n v="3595.52"/>
    <n v="2807.48"/>
    <n v="788.04"/>
    <x v="4"/>
  </r>
  <r>
    <s v="ORD00839"/>
    <d v="2025-02-26T00:00:00"/>
    <x v="4"/>
    <x v="1"/>
    <x v="3"/>
    <n v="246"/>
    <n v="31.36"/>
    <n v="7714.56"/>
    <n v="5725.09"/>
    <n v="1989.47"/>
    <x v="2"/>
  </r>
  <r>
    <s v="ORD00840"/>
    <d v="2025-01-27T00:00:00"/>
    <x v="1"/>
    <x v="0"/>
    <x v="3"/>
    <n v="260"/>
    <n v="38.32"/>
    <n v="9963.2000000000007"/>
    <n v="6859.91"/>
    <n v="3103.29"/>
    <x v="10"/>
  </r>
  <r>
    <s v="ORD00841"/>
    <d v="2025-12-13T00:00:00"/>
    <x v="5"/>
    <x v="0"/>
    <x v="3"/>
    <n v="222"/>
    <n v="14.26"/>
    <n v="3165.72"/>
    <n v="2190.66"/>
    <n v="975.06"/>
    <x v="5"/>
  </r>
  <r>
    <s v="ORD00842"/>
    <d v="2025-06-22T00:00:00"/>
    <x v="2"/>
    <x v="0"/>
    <x v="2"/>
    <n v="219"/>
    <n v="33"/>
    <n v="7227"/>
    <n v="4690.49"/>
    <n v="2536.5100000000002"/>
    <x v="0"/>
  </r>
  <r>
    <s v="ORD00843"/>
    <d v="2025-07-29T00:00:00"/>
    <x v="2"/>
    <x v="2"/>
    <x v="2"/>
    <n v="192"/>
    <n v="28.55"/>
    <n v="5481.6"/>
    <n v="3621.35"/>
    <n v="1860.25"/>
    <x v="8"/>
  </r>
  <r>
    <s v="ORD00844"/>
    <d v="2025-08-17T00:00:00"/>
    <x v="1"/>
    <x v="2"/>
    <x v="0"/>
    <n v="53"/>
    <n v="14.28"/>
    <n v="756.84"/>
    <n v="543.37"/>
    <n v="213.47"/>
    <x v="6"/>
  </r>
  <r>
    <s v="ORD00845"/>
    <d v="2025-04-05T00:00:00"/>
    <x v="0"/>
    <x v="1"/>
    <x v="1"/>
    <n v="223"/>
    <n v="24.39"/>
    <n v="5438.97"/>
    <n v="3741.82"/>
    <n v="1697.15"/>
    <x v="7"/>
  </r>
  <r>
    <s v="ORD00846"/>
    <d v="2025-05-22T00:00:00"/>
    <x v="0"/>
    <x v="0"/>
    <x v="3"/>
    <n v="251"/>
    <n v="25.56"/>
    <n v="6415.56"/>
    <n v="4454.75"/>
    <n v="1960.81"/>
    <x v="11"/>
  </r>
  <r>
    <s v="ORD00847"/>
    <d v="2025-03-28T00:00:00"/>
    <x v="1"/>
    <x v="1"/>
    <x v="4"/>
    <n v="129"/>
    <n v="12.2"/>
    <n v="1573.8"/>
    <n v="1165.03"/>
    <n v="408.77"/>
    <x v="4"/>
  </r>
  <r>
    <s v="ORD00848"/>
    <d v="2025-07-01T00:00:00"/>
    <x v="3"/>
    <x v="2"/>
    <x v="2"/>
    <n v="227"/>
    <n v="20.07"/>
    <n v="4555.8900000000003"/>
    <n v="3375.88"/>
    <n v="1180.01"/>
    <x v="8"/>
  </r>
  <r>
    <s v="ORD00849"/>
    <d v="2025-08-27T00:00:00"/>
    <x v="5"/>
    <x v="1"/>
    <x v="0"/>
    <n v="290"/>
    <n v="10.19"/>
    <n v="2955.1"/>
    <n v="2275.13"/>
    <n v="679.97"/>
    <x v="6"/>
  </r>
  <r>
    <s v="ORD00850"/>
    <d v="2025-09-18T00:00:00"/>
    <x v="2"/>
    <x v="2"/>
    <x v="5"/>
    <n v="215"/>
    <n v="38.56"/>
    <n v="8290.4"/>
    <n v="6001.84"/>
    <n v="2288.56"/>
    <x v="9"/>
  </r>
  <r>
    <s v="ORD00851"/>
    <d v="2025-12-06T00:00:00"/>
    <x v="4"/>
    <x v="2"/>
    <x v="1"/>
    <n v="12"/>
    <n v="38.479999999999997"/>
    <n v="461.76"/>
    <n v="290.48"/>
    <n v="171.28"/>
    <x v="5"/>
  </r>
  <r>
    <s v="ORD00852"/>
    <d v="2025-06-17T00:00:00"/>
    <x v="0"/>
    <x v="2"/>
    <x v="1"/>
    <n v="122"/>
    <n v="20.2"/>
    <n v="2464.4"/>
    <n v="1944.33"/>
    <n v="520.07000000000005"/>
    <x v="0"/>
  </r>
  <r>
    <s v="ORD00853"/>
    <d v="2025-11-30T00:00:00"/>
    <x v="1"/>
    <x v="2"/>
    <x v="0"/>
    <n v="103"/>
    <n v="18.57"/>
    <n v="1912.71"/>
    <n v="1199.6500000000001"/>
    <n v="713.06"/>
    <x v="3"/>
  </r>
  <r>
    <s v="ORD00854"/>
    <d v="2025-09-03T00:00:00"/>
    <x v="1"/>
    <x v="1"/>
    <x v="3"/>
    <n v="235"/>
    <n v="24.87"/>
    <n v="5844.45"/>
    <n v="3931.5"/>
    <n v="1912.95"/>
    <x v="9"/>
  </r>
  <r>
    <s v="ORD00855"/>
    <d v="2025-09-30T00:00:00"/>
    <x v="4"/>
    <x v="1"/>
    <x v="1"/>
    <n v="176"/>
    <n v="29.18"/>
    <n v="5135.68"/>
    <n v="3571.26"/>
    <n v="1564.42"/>
    <x v="9"/>
  </r>
  <r>
    <s v="ORD00856"/>
    <d v="2025-11-09T00:00:00"/>
    <x v="4"/>
    <x v="1"/>
    <x v="4"/>
    <n v="299"/>
    <n v="33.58"/>
    <n v="10040.42"/>
    <n v="6547.56"/>
    <n v="3492.86"/>
    <x v="3"/>
  </r>
  <r>
    <s v="ORD00857"/>
    <d v="2025-07-05T00:00:00"/>
    <x v="4"/>
    <x v="1"/>
    <x v="2"/>
    <n v="285"/>
    <n v="10.36"/>
    <n v="2952.6"/>
    <n v="2297.87"/>
    <n v="654.73"/>
    <x v="8"/>
  </r>
  <r>
    <s v="ORD00858"/>
    <d v="2025-12-20T00:00:00"/>
    <x v="1"/>
    <x v="2"/>
    <x v="2"/>
    <n v="203"/>
    <n v="10.65"/>
    <n v="2161.9499999999998"/>
    <n v="1380.69"/>
    <n v="781.26"/>
    <x v="5"/>
  </r>
  <r>
    <s v="ORD00859"/>
    <d v="2025-03-17T00:00:00"/>
    <x v="4"/>
    <x v="0"/>
    <x v="5"/>
    <n v="169"/>
    <n v="16.84"/>
    <n v="2845.96"/>
    <n v="1740.35"/>
    <n v="1105.6099999999999"/>
    <x v="4"/>
  </r>
  <r>
    <s v="ORD00860"/>
    <d v="2025-02-24T00:00:00"/>
    <x v="1"/>
    <x v="0"/>
    <x v="1"/>
    <n v="83"/>
    <n v="26.53"/>
    <n v="2201.9899999999998"/>
    <n v="1727.22"/>
    <n v="474.77"/>
    <x v="2"/>
  </r>
  <r>
    <s v="ORD00861"/>
    <d v="2025-04-09T00:00:00"/>
    <x v="3"/>
    <x v="1"/>
    <x v="4"/>
    <n v="30"/>
    <n v="32.44"/>
    <n v="973.2"/>
    <n v="751.04"/>
    <n v="222.16"/>
    <x v="7"/>
  </r>
  <r>
    <s v="ORD00862"/>
    <d v="2025-11-19T00:00:00"/>
    <x v="1"/>
    <x v="0"/>
    <x v="4"/>
    <n v="101"/>
    <n v="27.91"/>
    <n v="2818.91"/>
    <n v="2242.04"/>
    <n v="576.87"/>
    <x v="3"/>
  </r>
  <r>
    <s v="ORD00863"/>
    <d v="2025-03-24T00:00:00"/>
    <x v="5"/>
    <x v="2"/>
    <x v="2"/>
    <n v="73"/>
    <n v="11.17"/>
    <n v="815.41"/>
    <n v="542.71"/>
    <n v="272.7"/>
    <x v="4"/>
  </r>
  <r>
    <s v="ORD00864"/>
    <d v="2025-02-27T00:00:00"/>
    <x v="0"/>
    <x v="1"/>
    <x v="5"/>
    <n v="247"/>
    <n v="14.86"/>
    <n v="3670.42"/>
    <n v="2335.0700000000002"/>
    <n v="1335.35"/>
    <x v="2"/>
  </r>
  <r>
    <s v="ORD00865"/>
    <d v="2025-04-12T00:00:00"/>
    <x v="4"/>
    <x v="1"/>
    <x v="1"/>
    <n v="194"/>
    <n v="13.63"/>
    <n v="2644.22"/>
    <n v="2039.75"/>
    <n v="604.47"/>
    <x v="7"/>
  </r>
  <r>
    <s v="ORD00866"/>
    <d v="2025-05-10T00:00:00"/>
    <x v="5"/>
    <x v="2"/>
    <x v="2"/>
    <n v="238"/>
    <n v="16.98"/>
    <n v="4041.24"/>
    <n v="3212.47"/>
    <n v="828.77"/>
    <x v="11"/>
  </r>
  <r>
    <s v="ORD00867"/>
    <d v="2025-03-26T00:00:00"/>
    <x v="5"/>
    <x v="2"/>
    <x v="5"/>
    <n v="102"/>
    <n v="36.78"/>
    <n v="3751.56"/>
    <n v="2846.46"/>
    <n v="905.1"/>
    <x v="4"/>
  </r>
  <r>
    <s v="ORD00868"/>
    <d v="2025-01-31T00:00:00"/>
    <x v="1"/>
    <x v="1"/>
    <x v="3"/>
    <n v="238"/>
    <n v="25.91"/>
    <n v="6166.58"/>
    <n v="4539.47"/>
    <n v="1627.11"/>
    <x v="10"/>
  </r>
  <r>
    <s v="ORD00869"/>
    <d v="2025-10-22T00:00:00"/>
    <x v="0"/>
    <x v="2"/>
    <x v="0"/>
    <n v="17"/>
    <n v="23.55"/>
    <n v="400.35"/>
    <n v="310.77999999999997"/>
    <n v="89.57"/>
    <x v="1"/>
  </r>
  <r>
    <s v="ORD00870"/>
    <d v="2025-12-05T00:00:00"/>
    <x v="1"/>
    <x v="2"/>
    <x v="3"/>
    <n v="212"/>
    <n v="25.34"/>
    <n v="5372.08"/>
    <n v="3381.69"/>
    <n v="1990.39"/>
    <x v="5"/>
  </r>
  <r>
    <s v="ORD00871"/>
    <d v="2025-03-14T00:00:00"/>
    <x v="5"/>
    <x v="2"/>
    <x v="4"/>
    <n v="264"/>
    <n v="15.25"/>
    <n v="4026"/>
    <n v="2724.25"/>
    <n v="1301.75"/>
    <x v="4"/>
  </r>
  <r>
    <s v="ORD00872"/>
    <d v="2025-09-14T00:00:00"/>
    <x v="4"/>
    <x v="1"/>
    <x v="5"/>
    <n v="273"/>
    <n v="38.159999999999997"/>
    <n v="10417.68"/>
    <n v="8010.09"/>
    <n v="2407.59"/>
    <x v="9"/>
  </r>
  <r>
    <s v="ORD00873"/>
    <d v="2025-12-09T00:00:00"/>
    <x v="3"/>
    <x v="1"/>
    <x v="1"/>
    <n v="106"/>
    <n v="27.1"/>
    <n v="2872.6"/>
    <n v="2142.0300000000002"/>
    <n v="730.57"/>
    <x v="5"/>
  </r>
  <r>
    <s v="ORD00874"/>
    <d v="2025-10-24T00:00:00"/>
    <x v="4"/>
    <x v="0"/>
    <x v="5"/>
    <n v="92"/>
    <n v="19.489999999999998"/>
    <n v="1793.08"/>
    <n v="1210.9000000000001"/>
    <n v="582.17999999999995"/>
    <x v="1"/>
  </r>
  <r>
    <s v="ORD00875"/>
    <d v="2025-11-11T00:00:00"/>
    <x v="4"/>
    <x v="2"/>
    <x v="3"/>
    <n v="12"/>
    <n v="39.72"/>
    <n v="476.64"/>
    <n v="351.57"/>
    <n v="125.07"/>
    <x v="3"/>
  </r>
  <r>
    <s v="ORD00876"/>
    <d v="2025-05-15T00:00:00"/>
    <x v="3"/>
    <x v="1"/>
    <x v="4"/>
    <n v="182"/>
    <n v="14.75"/>
    <n v="2684.5"/>
    <n v="2071.1799999999998"/>
    <n v="613.32000000000005"/>
    <x v="11"/>
  </r>
  <r>
    <s v="ORD00877"/>
    <d v="2025-09-09T00:00:00"/>
    <x v="0"/>
    <x v="1"/>
    <x v="0"/>
    <n v="33"/>
    <n v="14.47"/>
    <n v="477.51"/>
    <n v="359.19"/>
    <n v="118.32"/>
    <x v="9"/>
  </r>
  <r>
    <s v="ORD00878"/>
    <d v="2025-10-28T00:00:00"/>
    <x v="1"/>
    <x v="2"/>
    <x v="2"/>
    <n v="269"/>
    <n v="22.82"/>
    <n v="6138.58"/>
    <n v="4829.05"/>
    <n v="1309.53"/>
    <x v="1"/>
  </r>
  <r>
    <s v="ORD00879"/>
    <d v="2025-02-22T00:00:00"/>
    <x v="3"/>
    <x v="1"/>
    <x v="5"/>
    <n v="202"/>
    <n v="18.3"/>
    <n v="3696.6"/>
    <n v="2302.0100000000002"/>
    <n v="1394.59"/>
    <x v="2"/>
  </r>
  <r>
    <s v="ORD00880"/>
    <d v="2025-05-12T00:00:00"/>
    <x v="1"/>
    <x v="0"/>
    <x v="1"/>
    <n v="51"/>
    <n v="31.91"/>
    <n v="1627.41"/>
    <n v="1187.5999999999999"/>
    <n v="439.81"/>
    <x v="11"/>
  </r>
  <r>
    <s v="ORD00881"/>
    <d v="2025-06-03T00:00:00"/>
    <x v="4"/>
    <x v="0"/>
    <x v="3"/>
    <n v="119"/>
    <n v="11.95"/>
    <n v="1422.05"/>
    <n v="926.65"/>
    <n v="495.4"/>
    <x v="0"/>
  </r>
  <r>
    <s v="ORD00882"/>
    <d v="2025-09-14T00:00:00"/>
    <x v="5"/>
    <x v="1"/>
    <x v="1"/>
    <n v="279"/>
    <n v="22.8"/>
    <n v="6361.2"/>
    <n v="4544.13"/>
    <n v="1817.07"/>
    <x v="9"/>
  </r>
  <r>
    <s v="ORD00883"/>
    <d v="2025-11-26T00:00:00"/>
    <x v="3"/>
    <x v="0"/>
    <x v="4"/>
    <n v="172"/>
    <n v="22.04"/>
    <n v="3790.88"/>
    <n v="2994.8"/>
    <n v="796.08"/>
    <x v="3"/>
  </r>
  <r>
    <s v="ORD00884"/>
    <d v="2025-03-16T00:00:00"/>
    <x v="0"/>
    <x v="2"/>
    <x v="5"/>
    <n v="161"/>
    <n v="11.61"/>
    <n v="1869.21"/>
    <n v="1490.99"/>
    <n v="378.22"/>
    <x v="4"/>
  </r>
  <r>
    <s v="ORD00885"/>
    <d v="2025-03-09T00:00:00"/>
    <x v="2"/>
    <x v="1"/>
    <x v="3"/>
    <n v="190"/>
    <n v="29.11"/>
    <n v="5530.9"/>
    <n v="3735.03"/>
    <n v="1795.87"/>
    <x v="4"/>
  </r>
  <r>
    <s v="ORD00886"/>
    <d v="2025-01-18T00:00:00"/>
    <x v="1"/>
    <x v="0"/>
    <x v="1"/>
    <n v="237"/>
    <n v="24.34"/>
    <n v="5768.58"/>
    <n v="3561.39"/>
    <n v="2207.19"/>
    <x v="10"/>
  </r>
  <r>
    <s v="ORD00887"/>
    <d v="2025-11-04T00:00:00"/>
    <x v="4"/>
    <x v="1"/>
    <x v="3"/>
    <n v="250"/>
    <n v="36.28"/>
    <n v="9070"/>
    <n v="5588.03"/>
    <n v="3481.97"/>
    <x v="3"/>
  </r>
  <r>
    <s v="ORD00888"/>
    <d v="2025-04-05T00:00:00"/>
    <x v="5"/>
    <x v="0"/>
    <x v="3"/>
    <n v="79"/>
    <n v="29.36"/>
    <n v="2319.44"/>
    <n v="1743.21"/>
    <n v="576.23"/>
    <x v="7"/>
  </r>
  <r>
    <s v="ORD00889"/>
    <d v="2025-05-14T00:00:00"/>
    <x v="2"/>
    <x v="1"/>
    <x v="2"/>
    <n v="182"/>
    <n v="14.93"/>
    <n v="2717.26"/>
    <n v="2122.94"/>
    <n v="594.32000000000005"/>
    <x v="11"/>
  </r>
  <r>
    <s v="ORD00890"/>
    <d v="2025-05-09T00:00:00"/>
    <x v="0"/>
    <x v="1"/>
    <x v="4"/>
    <n v="142"/>
    <n v="37.380000000000003"/>
    <n v="5307.96"/>
    <n v="3419.55"/>
    <n v="1888.41"/>
    <x v="11"/>
  </r>
  <r>
    <s v="ORD00891"/>
    <d v="2025-11-19T00:00:00"/>
    <x v="3"/>
    <x v="0"/>
    <x v="4"/>
    <n v="206"/>
    <n v="25.99"/>
    <n v="5353.94"/>
    <n v="4127.71"/>
    <n v="1226.23"/>
    <x v="3"/>
  </r>
  <r>
    <s v="ORD00892"/>
    <d v="2025-08-02T00:00:00"/>
    <x v="5"/>
    <x v="1"/>
    <x v="2"/>
    <n v="250"/>
    <n v="34.17"/>
    <n v="8542.5"/>
    <n v="6290.69"/>
    <n v="2251.81"/>
    <x v="6"/>
  </r>
  <r>
    <s v="ORD00893"/>
    <d v="2025-12-01T00:00:00"/>
    <x v="2"/>
    <x v="1"/>
    <x v="2"/>
    <n v="247"/>
    <n v="24.43"/>
    <n v="6034.21"/>
    <n v="4260.18"/>
    <n v="1774.03"/>
    <x v="5"/>
  </r>
  <r>
    <s v="ORD00894"/>
    <d v="2025-09-24T00:00:00"/>
    <x v="2"/>
    <x v="0"/>
    <x v="1"/>
    <n v="71"/>
    <n v="26.62"/>
    <n v="1890.02"/>
    <n v="1287.1600000000001"/>
    <n v="602.86"/>
    <x v="9"/>
  </r>
  <r>
    <s v="ORD00895"/>
    <d v="2025-08-29T00:00:00"/>
    <x v="1"/>
    <x v="2"/>
    <x v="1"/>
    <n v="262"/>
    <n v="38"/>
    <n v="9956"/>
    <n v="7095.08"/>
    <n v="2860.92"/>
    <x v="6"/>
  </r>
  <r>
    <s v="ORD00896"/>
    <d v="2025-10-29T00:00:00"/>
    <x v="4"/>
    <x v="1"/>
    <x v="4"/>
    <n v="178"/>
    <n v="14.86"/>
    <n v="2645.08"/>
    <n v="2055.8000000000002"/>
    <n v="589.28"/>
    <x v="1"/>
  </r>
  <r>
    <s v="ORD00897"/>
    <d v="2025-03-13T00:00:00"/>
    <x v="3"/>
    <x v="2"/>
    <x v="3"/>
    <n v="265"/>
    <n v="27.47"/>
    <n v="7279.55"/>
    <n v="5775.33"/>
    <n v="1504.22"/>
    <x v="4"/>
  </r>
  <r>
    <s v="ORD00898"/>
    <d v="2025-04-02T00:00:00"/>
    <x v="3"/>
    <x v="0"/>
    <x v="0"/>
    <n v="170"/>
    <n v="33.11"/>
    <n v="5628.7"/>
    <n v="3735.02"/>
    <n v="1893.68"/>
    <x v="7"/>
  </r>
  <r>
    <s v="ORD00899"/>
    <d v="2025-08-22T00:00:00"/>
    <x v="5"/>
    <x v="2"/>
    <x v="0"/>
    <n v="199"/>
    <n v="26.89"/>
    <n v="5351.11"/>
    <n v="4225.4799999999996"/>
    <n v="1125.6300000000001"/>
    <x v="6"/>
  </r>
  <r>
    <s v="ORD00900"/>
    <d v="2025-09-04T00:00:00"/>
    <x v="5"/>
    <x v="0"/>
    <x v="0"/>
    <n v="111"/>
    <n v="26.3"/>
    <n v="2919.3"/>
    <n v="2255.1999999999998"/>
    <n v="664.1"/>
    <x v="9"/>
  </r>
  <r>
    <s v="ORD00901"/>
    <d v="2025-04-07T00:00:00"/>
    <x v="2"/>
    <x v="2"/>
    <x v="3"/>
    <n v="107"/>
    <n v="19.010000000000002"/>
    <n v="2034.07"/>
    <n v="1614.74"/>
    <n v="419.33"/>
    <x v="7"/>
  </r>
  <r>
    <s v="ORD00902"/>
    <d v="2025-02-02T00:00:00"/>
    <x v="2"/>
    <x v="2"/>
    <x v="3"/>
    <n v="225"/>
    <n v="10.3"/>
    <n v="2317.5"/>
    <n v="1646.89"/>
    <n v="670.61"/>
    <x v="2"/>
  </r>
  <r>
    <s v="ORD00903"/>
    <d v="2025-12-06T00:00:00"/>
    <x v="1"/>
    <x v="2"/>
    <x v="0"/>
    <n v="70"/>
    <n v="32.6"/>
    <n v="2282"/>
    <n v="1477.48"/>
    <n v="804.52"/>
    <x v="5"/>
  </r>
  <r>
    <s v="ORD00904"/>
    <d v="2025-02-21T00:00:00"/>
    <x v="1"/>
    <x v="1"/>
    <x v="4"/>
    <n v="108"/>
    <n v="30.35"/>
    <n v="3277.8"/>
    <n v="2434.2199999999998"/>
    <n v="843.58"/>
    <x v="2"/>
  </r>
  <r>
    <s v="ORD00905"/>
    <d v="2025-08-07T00:00:00"/>
    <x v="0"/>
    <x v="2"/>
    <x v="4"/>
    <n v="54"/>
    <n v="39.07"/>
    <n v="2109.7800000000002"/>
    <n v="1397.94"/>
    <n v="711.84"/>
    <x v="6"/>
  </r>
  <r>
    <s v="ORD00906"/>
    <d v="2025-09-21T00:00:00"/>
    <x v="0"/>
    <x v="0"/>
    <x v="4"/>
    <n v="222"/>
    <n v="20.5"/>
    <n v="4551"/>
    <n v="3376.95"/>
    <n v="1174.05"/>
    <x v="9"/>
  </r>
  <r>
    <s v="ORD00907"/>
    <d v="2025-10-21T00:00:00"/>
    <x v="2"/>
    <x v="0"/>
    <x v="2"/>
    <n v="113"/>
    <n v="39.65"/>
    <n v="4480.45"/>
    <n v="3500.27"/>
    <n v="980.18"/>
    <x v="1"/>
  </r>
  <r>
    <s v="ORD00908"/>
    <d v="2025-03-04T00:00:00"/>
    <x v="4"/>
    <x v="2"/>
    <x v="1"/>
    <n v="146"/>
    <n v="27.56"/>
    <n v="4023.76"/>
    <n v="3009.5"/>
    <n v="1014.26"/>
    <x v="4"/>
  </r>
  <r>
    <s v="ORD00909"/>
    <d v="2025-07-27T00:00:00"/>
    <x v="3"/>
    <x v="0"/>
    <x v="5"/>
    <n v="23"/>
    <n v="12.02"/>
    <n v="276.45999999999998"/>
    <n v="211.79"/>
    <n v="64.67"/>
    <x v="8"/>
  </r>
  <r>
    <s v="ORD00910"/>
    <d v="2025-05-19T00:00:00"/>
    <x v="5"/>
    <x v="0"/>
    <x v="4"/>
    <n v="273"/>
    <n v="14.44"/>
    <n v="3942.12"/>
    <n v="2652.44"/>
    <n v="1289.68"/>
    <x v="11"/>
  </r>
  <r>
    <s v="ORD00911"/>
    <d v="2025-01-28T00:00:00"/>
    <x v="2"/>
    <x v="1"/>
    <x v="5"/>
    <n v="228"/>
    <n v="28.7"/>
    <n v="6543.6"/>
    <n v="4781.33"/>
    <n v="1762.27"/>
    <x v="10"/>
  </r>
  <r>
    <s v="ORD00912"/>
    <d v="2025-07-07T00:00:00"/>
    <x v="4"/>
    <x v="1"/>
    <x v="3"/>
    <n v="292"/>
    <n v="14"/>
    <n v="4088"/>
    <n v="3204.27"/>
    <n v="883.73"/>
    <x v="8"/>
  </r>
  <r>
    <s v="ORD00913"/>
    <d v="2025-03-14T00:00:00"/>
    <x v="0"/>
    <x v="0"/>
    <x v="2"/>
    <n v="93"/>
    <n v="14.74"/>
    <n v="1370.82"/>
    <n v="863.44"/>
    <n v="507.38"/>
    <x v="4"/>
  </r>
  <r>
    <s v="ORD00914"/>
    <d v="2025-06-08T00:00:00"/>
    <x v="3"/>
    <x v="1"/>
    <x v="1"/>
    <n v="267"/>
    <n v="27.01"/>
    <n v="7211.67"/>
    <n v="4465.5600000000004"/>
    <n v="2746.11"/>
    <x v="0"/>
  </r>
  <r>
    <s v="ORD00915"/>
    <d v="2025-10-06T00:00:00"/>
    <x v="2"/>
    <x v="0"/>
    <x v="4"/>
    <n v="17"/>
    <n v="31.82"/>
    <n v="540.94000000000005"/>
    <n v="350.12"/>
    <n v="190.82"/>
    <x v="1"/>
  </r>
  <r>
    <s v="ORD00916"/>
    <d v="2025-05-04T00:00:00"/>
    <x v="3"/>
    <x v="2"/>
    <x v="1"/>
    <n v="192"/>
    <n v="17.239999999999998"/>
    <n v="3310.08"/>
    <n v="2047.34"/>
    <n v="1262.74"/>
    <x v="11"/>
  </r>
  <r>
    <s v="ORD00917"/>
    <d v="2025-08-08T00:00:00"/>
    <x v="5"/>
    <x v="0"/>
    <x v="1"/>
    <n v="181"/>
    <n v="24.29"/>
    <n v="4396.49"/>
    <n v="2674.45"/>
    <n v="1722.04"/>
    <x v="6"/>
  </r>
  <r>
    <s v="ORD00918"/>
    <d v="2025-09-15T00:00:00"/>
    <x v="2"/>
    <x v="0"/>
    <x v="4"/>
    <n v="132"/>
    <n v="37.71"/>
    <n v="4977.72"/>
    <n v="3587.98"/>
    <n v="1389.74"/>
    <x v="9"/>
  </r>
  <r>
    <s v="ORD00919"/>
    <d v="2025-05-14T00:00:00"/>
    <x v="4"/>
    <x v="2"/>
    <x v="4"/>
    <n v="52"/>
    <n v="33.22"/>
    <n v="1727.44"/>
    <n v="1297.1300000000001"/>
    <n v="430.31"/>
    <x v="11"/>
  </r>
  <r>
    <s v="ORD00920"/>
    <d v="2025-08-05T00:00:00"/>
    <x v="3"/>
    <x v="0"/>
    <x v="5"/>
    <n v="167"/>
    <n v="12.23"/>
    <n v="2042.41"/>
    <n v="1543.65"/>
    <n v="498.76"/>
    <x v="6"/>
  </r>
  <r>
    <s v="ORD00921"/>
    <d v="2025-03-21T00:00:00"/>
    <x v="1"/>
    <x v="2"/>
    <x v="3"/>
    <n v="98"/>
    <n v="19.16"/>
    <n v="1877.68"/>
    <n v="1248.3900000000001"/>
    <n v="629.29"/>
    <x v="4"/>
  </r>
  <r>
    <s v="ORD00922"/>
    <d v="2025-08-08T00:00:00"/>
    <x v="5"/>
    <x v="2"/>
    <x v="5"/>
    <n v="94"/>
    <n v="27.61"/>
    <n v="2595.34"/>
    <n v="1815.58"/>
    <n v="779.76"/>
    <x v="6"/>
  </r>
  <r>
    <s v="ORD00923"/>
    <d v="2025-03-22T00:00:00"/>
    <x v="1"/>
    <x v="0"/>
    <x v="3"/>
    <n v="39"/>
    <n v="18.55"/>
    <n v="723.45"/>
    <n v="439.8"/>
    <n v="283.64999999999998"/>
    <x v="4"/>
  </r>
  <r>
    <s v="ORD00924"/>
    <d v="2025-04-08T00:00:00"/>
    <x v="2"/>
    <x v="1"/>
    <x v="0"/>
    <n v="271"/>
    <n v="22.13"/>
    <n v="5997.23"/>
    <n v="3872.92"/>
    <n v="2124.31"/>
    <x v="7"/>
  </r>
  <r>
    <s v="ORD00925"/>
    <d v="2025-12-05T00:00:00"/>
    <x v="1"/>
    <x v="2"/>
    <x v="2"/>
    <n v="242"/>
    <n v="12.74"/>
    <n v="3083.08"/>
    <n v="2406.41"/>
    <n v="676.67"/>
    <x v="5"/>
  </r>
  <r>
    <s v="ORD00926"/>
    <d v="2025-12-05T00:00:00"/>
    <x v="0"/>
    <x v="2"/>
    <x v="0"/>
    <n v="213"/>
    <n v="13.03"/>
    <n v="2775.39"/>
    <n v="1891.68"/>
    <n v="883.71"/>
    <x v="5"/>
  </r>
  <r>
    <s v="ORD00927"/>
    <d v="2025-07-06T00:00:00"/>
    <x v="4"/>
    <x v="0"/>
    <x v="4"/>
    <n v="181"/>
    <n v="17.45"/>
    <n v="3158.45"/>
    <n v="2312.89"/>
    <n v="845.56"/>
    <x v="8"/>
  </r>
  <r>
    <s v="ORD00928"/>
    <d v="2025-07-25T00:00:00"/>
    <x v="2"/>
    <x v="0"/>
    <x v="4"/>
    <n v="223"/>
    <n v="30.65"/>
    <n v="6834.95"/>
    <n v="4689.75"/>
    <n v="2145.1999999999998"/>
    <x v="8"/>
  </r>
  <r>
    <s v="ORD00929"/>
    <d v="2025-01-30T00:00:00"/>
    <x v="5"/>
    <x v="0"/>
    <x v="1"/>
    <n v="288"/>
    <n v="15.76"/>
    <n v="4538.88"/>
    <n v="2962.2"/>
    <n v="1576.68"/>
    <x v="10"/>
  </r>
  <r>
    <s v="ORD00930"/>
    <d v="2025-09-15T00:00:00"/>
    <x v="3"/>
    <x v="2"/>
    <x v="1"/>
    <n v="260"/>
    <n v="17.59"/>
    <n v="4573.3999999999996"/>
    <n v="2834.77"/>
    <n v="1738.63"/>
    <x v="9"/>
  </r>
  <r>
    <s v="ORD00931"/>
    <d v="2025-05-30T00:00:00"/>
    <x v="3"/>
    <x v="0"/>
    <x v="2"/>
    <n v="42"/>
    <n v="38.020000000000003"/>
    <n v="1596.84"/>
    <n v="1218.24"/>
    <n v="378.6"/>
    <x v="11"/>
  </r>
  <r>
    <s v="ORD00932"/>
    <d v="2025-02-04T00:00:00"/>
    <x v="1"/>
    <x v="2"/>
    <x v="2"/>
    <n v="257"/>
    <n v="23.12"/>
    <n v="5941.84"/>
    <n v="4349.41"/>
    <n v="1592.43"/>
    <x v="2"/>
  </r>
  <r>
    <s v="ORD00933"/>
    <d v="2025-10-24T00:00:00"/>
    <x v="1"/>
    <x v="0"/>
    <x v="0"/>
    <n v="33"/>
    <n v="33.68"/>
    <n v="1111.44"/>
    <n v="842.56"/>
    <n v="268.88"/>
    <x v="1"/>
  </r>
  <r>
    <s v="ORD00934"/>
    <d v="2025-05-03T00:00:00"/>
    <x v="4"/>
    <x v="1"/>
    <x v="2"/>
    <n v="37"/>
    <n v="16.63"/>
    <n v="615.30999999999995"/>
    <n v="485.9"/>
    <n v="129.41"/>
    <x v="11"/>
  </r>
  <r>
    <s v="ORD00935"/>
    <d v="2025-12-23T00:00:00"/>
    <x v="2"/>
    <x v="1"/>
    <x v="1"/>
    <n v="197"/>
    <n v="22.2"/>
    <n v="4373.3999999999996"/>
    <n v="3347.83"/>
    <n v="1025.57"/>
    <x v="5"/>
  </r>
  <r>
    <s v="ORD00936"/>
    <d v="2025-04-02T00:00:00"/>
    <x v="3"/>
    <x v="0"/>
    <x v="5"/>
    <n v="11"/>
    <n v="13.96"/>
    <n v="153.56"/>
    <n v="108.84"/>
    <n v="44.72"/>
    <x v="7"/>
  </r>
  <r>
    <s v="ORD00937"/>
    <d v="2025-03-21T00:00:00"/>
    <x v="3"/>
    <x v="0"/>
    <x v="5"/>
    <n v="143"/>
    <n v="31.51"/>
    <n v="4505.93"/>
    <n v="2807.38"/>
    <n v="1698.55"/>
    <x v="4"/>
  </r>
  <r>
    <s v="ORD00938"/>
    <d v="2025-04-24T00:00:00"/>
    <x v="1"/>
    <x v="1"/>
    <x v="3"/>
    <n v="11"/>
    <n v="14.59"/>
    <n v="160.49"/>
    <n v="124.35"/>
    <n v="36.14"/>
    <x v="7"/>
  </r>
  <r>
    <s v="ORD00939"/>
    <d v="2025-06-12T00:00:00"/>
    <x v="5"/>
    <x v="2"/>
    <x v="3"/>
    <n v="296"/>
    <n v="35.950000000000003"/>
    <n v="10641.2"/>
    <n v="7636.61"/>
    <n v="3004.59"/>
    <x v="0"/>
  </r>
  <r>
    <s v="ORD00940"/>
    <d v="2025-04-11T00:00:00"/>
    <x v="4"/>
    <x v="0"/>
    <x v="0"/>
    <n v="169"/>
    <n v="25.56"/>
    <n v="4319.6400000000003"/>
    <n v="3009.03"/>
    <n v="1310.6099999999999"/>
    <x v="7"/>
  </r>
  <r>
    <s v="ORD00941"/>
    <d v="2025-07-01T00:00:00"/>
    <x v="0"/>
    <x v="1"/>
    <x v="5"/>
    <n v="271"/>
    <n v="26.77"/>
    <n v="7254.67"/>
    <n v="5788.93"/>
    <n v="1465.74"/>
    <x v="8"/>
  </r>
  <r>
    <s v="ORD00942"/>
    <d v="2025-09-15T00:00:00"/>
    <x v="5"/>
    <x v="2"/>
    <x v="2"/>
    <n v="75"/>
    <n v="25.12"/>
    <n v="1884"/>
    <n v="1288.2"/>
    <n v="595.79999999999995"/>
    <x v="9"/>
  </r>
  <r>
    <s v="ORD00943"/>
    <d v="2025-01-23T00:00:00"/>
    <x v="5"/>
    <x v="2"/>
    <x v="1"/>
    <n v="282"/>
    <n v="18.79"/>
    <n v="5298.78"/>
    <n v="3305.27"/>
    <n v="1993.51"/>
    <x v="10"/>
  </r>
  <r>
    <s v="ORD00944"/>
    <d v="2025-07-11T00:00:00"/>
    <x v="0"/>
    <x v="2"/>
    <x v="1"/>
    <n v="274"/>
    <n v="24.29"/>
    <n v="6655.46"/>
    <n v="4930.8599999999997"/>
    <n v="1724.6"/>
    <x v="8"/>
  </r>
  <r>
    <s v="ORD00945"/>
    <d v="2025-10-06T00:00:00"/>
    <x v="1"/>
    <x v="1"/>
    <x v="1"/>
    <n v="158"/>
    <n v="18.79"/>
    <n v="2968.82"/>
    <n v="2274.13"/>
    <n v="694.69"/>
    <x v="1"/>
  </r>
  <r>
    <s v="ORD00946"/>
    <d v="2025-06-14T00:00:00"/>
    <x v="5"/>
    <x v="1"/>
    <x v="1"/>
    <n v="119"/>
    <n v="31.88"/>
    <n v="3793.72"/>
    <n v="2930.38"/>
    <n v="863.34"/>
    <x v="0"/>
  </r>
  <r>
    <s v="ORD00947"/>
    <d v="2025-07-04T00:00:00"/>
    <x v="2"/>
    <x v="0"/>
    <x v="1"/>
    <n v="54"/>
    <n v="32.64"/>
    <n v="1762.56"/>
    <n v="1316.06"/>
    <n v="446.5"/>
    <x v="8"/>
  </r>
  <r>
    <s v="ORD00948"/>
    <d v="2025-12-02T00:00:00"/>
    <x v="4"/>
    <x v="2"/>
    <x v="4"/>
    <n v="140"/>
    <n v="29.06"/>
    <n v="4068.4"/>
    <n v="3005.33"/>
    <n v="1063.07"/>
    <x v="5"/>
  </r>
  <r>
    <s v="ORD00949"/>
    <d v="2025-06-24T00:00:00"/>
    <x v="0"/>
    <x v="2"/>
    <x v="5"/>
    <n v="194"/>
    <n v="22.29"/>
    <n v="4324.26"/>
    <n v="2972.9"/>
    <n v="1351.36"/>
    <x v="0"/>
  </r>
  <r>
    <s v="ORD00950"/>
    <d v="2025-06-06T00:00:00"/>
    <x v="5"/>
    <x v="2"/>
    <x v="5"/>
    <n v="127"/>
    <n v="20.21"/>
    <n v="2566.67"/>
    <n v="1782.41"/>
    <n v="784.26"/>
    <x v="0"/>
  </r>
  <r>
    <s v="ORD00951"/>
    <d v="2025-04-06T00:00:00"/>
    <x v="3"/>
    <x v="0"/>
    <x v="5"/>
    <n v="259"/>
    <n v="13.06"/>
    <n v="3382.54"/>
    <n v="2162.8200000000002"/>
    <n v="1219.72"/>
    <x v="7"/>
  </r>
  <r>
    <s v="ORD00952"/>
    <d v="2025-03-09T00:00:00"/>
    <x v="3"/>
    <x v="1"/>
    <x v="1"/>
    <n v="183"/>
    <n v="35.47"/>
    <n v="6491.01"/>
    <n v="5021"/>
    <n v="1470.01"/>
    <x v="4"/>
  </r>
  <r>
    <s v="ORD00953"/>
    <d v="2025-03-21T00:00:00"/>
    <x v="5"/>
    <x v="0"/>
    <x v="0"/>
    <n v="170"/>
    <n v="14.62"/>
    <n v="2485.4"/>
    <n v="1810.06"/>
    <n v="675.34"/>
    <x v="4"/>
  </r>
  <r>
    <s v="ORD00954"/>
    <d v="2025-05-24T00:00:00"/>
    <x v="4"/>
    <x v="0"/>
    <x v="2"/>
    <n v="41"/>
    <n v="37.659999999999997"/>
    <n v="1544.06"/>
    <n v="1189.77"/>
    <n v="354.29"/>
    <x v="11"/>
  </r>
  <r>
    <s v="ORD00955"/>
    <d v="2025-01-28T00:00:00"/>
    <x v="4"/>
    <x v="2"/>
    <x v="4"/>
    <n v="228"/>
    <n v="22.72"/>
    <n v="5180.16"/>
    <n v="3265.92"/>
    <n v="1914.24"/>
    <x v="10"/>
  </r>
  <r>
    <s v="ORD00956"/>
    <d v="2025-02-27T00:00:00"/>
    <x v="0"/>
    <x v="1"/>
    <x v="4"/>
    <n v="149"/>
    <n v="23.19"/>
    <n v="3455.31"/>
    <n v="2347.87"/>
    <n v="1107.44"/>
    <x v="2"/>
  </r>
  <r>
    <s v="ORD00957"/>
    <d v="2025-07-20T00:00:00"/>
    <x v="5"/>
    <x v="1"/>
    <x v="4"/>
    <n v="209"/>
    <n v="15.58"/>
    <n v="3256.22"/>
    <n v="2463.06"/>
    <n v="793.16"/>
    <x v="8"/>
  </r>
  <r>
    <s v="ORD00958"/>
    <d v="2025-06-14T00:00:00"/>
    <x v="5"/>
    <x v="0"/>
    <x v="2"/>
    <n v="180"/>
    <n v="13.8"/>
    <n v="2484"/>
    <n v="1507.82"/>
    <n v="976.18"/>
    <x v="0"/>
  </r>
  <r>
    <s v="ORD00959"/>
    <d v="2025-01-11T00:00:00"/>
    <x v="2"/>
    <x v="0"/>
    <x v="1"/>
    <n v="128"/>
    <n v="18.809999999999999"/>
    <n v="2407.6799999999998"/>
    <n v="1541.01"/>
    <n v="866.67"/>
    <x v="10"/>
  </r>
  <r>
    <s v="ORD00960"/>
    <d v="2025-10-28T00:00:00"/>
    <x v="0"/>
    <x v="2"/>
    <x v="3"/>
    <n v="174"/>
    <n v="13.64"/>
    <n v="2373.36"/>
    <n v="1695.35"/>
    <n v="678.01"/>
    <x v="1"/>
  </r>
  <r>
    <s v="ORD00961"/>
    <d v="2025-02-16T00:00:00"/>
    <x v="3"/>
    <x v="1"/>
    <x v="1"/>
    <n v="271"/>
    <n v="23.81"/>
    <n v="6452.51"/>
    <n v="4177.83"/>
    <n v="2274.6799999999998"/>
    <x v="2"/>
  </r>
  <r>
    <s v="ORD00962"/>
    <d v="2025-07-05T00:00:00"/>
    <x v="3"/>
    <x v="0"/>
    <x v="5"/>
    <n v="17"/>
    <n v="37.07"/>
    <n v="630.19000000000005"/>
    <n v="392.73"/>
    <n v="237.46"/>
    <x v="8"/>
  </r>
  <r>
    <s v="ORD00963"/>
    <d v="2025-08-05T00:00:00"/>
    <x v="5"/>
    <x v="0"/>
    <x v="3"/>
    <n v="134"/>
    <n v="20.010000000000002"/>
    <n v="2681.34"/>
    <n v="1737.81"/>
    <n v="943.53"/>
    <x v="6"/>
  </r>
  <r>
    <s v="ORD00964"/>
    <d v="2025-10-09T00:00:00"/>
    <x v="3"/>
    <x v="1"/>
    <x v="4"/>
    <n v="165"/>
    <n v="18.079999999999998"/>
    <n v="2983.2"/>
    <n v="2253.0100000000002"/>
    <n v="730.19"/>
    <x v="1"/>
  </r>
  <r>
    <s v="ORD00965"/>
    <d v="2025-01-28T00:00:00"/>
    <x v="2"/>
    <x v="2"/>
    <x v="1"/>
    <n v="204"/>
    <n v="23.86"/>
    <n v="4867.4399999999996"/>
    <n v="3503.61"/>
    <n v="1363.83"/>
    <x v="10"/>
  </r>
  <r>
    <s v="ORD00966"/>
    <d v="2025-10-08T00:00:00"/>
    <x v="4"/>
    <x v="2"/>
    <x v="1"/>
    <n v="208"/>
    <n v="14.79"/>
    <n v="3076.32"/>
    <n v="2434.09"/>
    <n v="642.23"/>
    <x v="1"/>
  </r>
  <r>
    <s v="ORD00967"/>
    <d v="2025-02-16T00:00:00"/>
    <x v="1"/>
    <x v="0"/>
    <x v="4"/>
    <n v="169"/>
    <n v="23.86"/>
    <n v="4032.34"/>
    <n v="2590.7800000000002"/>
    <n v="1441.56"/>
    <x v="2"/>
  </r>
  <r>
    <s v="ORD00968"/>
    <d v="2025-02-16T00:00:00"/>
    <x v="0"/>
    <x v="1"/>
    <x v="0"/>
    <n v="104"/>
    <n v="21.07"/>
    <n v="2191.2800000000002"/>
    <n v="1504.35"/>
    <n v="686.93"/>
    <x v="2"/>
  </r>
  <r>
    <s v="ORD00969"/>
    <d v="2025-12-26T00:00:00"/>
    <x v="2"/>
    <x v="0"/>
    <x v="3"/>
    <n v="188"/>
    <n v="25.48"/>
    <n v="4790.24"/>
    <n v="3814.78"/>
    <n v="975.46"/>
    <x v="5"/>
  </r>
  <r>
    <s v="ORD00970"/>
    <d v="2025-09-28T00:00:00"/>
    <x v="0"/>
    <x v="0"/>
    <x v="2"/>
    <n v="262"/>
    <n v="13.42"/>
    <n v="3516.04"/>
    <n v="2313.73"/>
    <n v="1202.31"/>
    <x v="9"/>
  </r>
  <r>
    <s v="ORD00971"/>
    <d v="2025-07-18T00:00:00"/>
    <x v="0"/>
    <x v="2"/>
    <x v="0"/>
    <n v="193"/>
    <n v="35.44"/>
    <n v="6839.92"/>
    <n v="4927.43"/>
    <n v="1912.49"/>
    <x v="8"/>
  </r>
  <r>
    <s v="ORD00972"/>
    <d v="2025-05-26T00:00:00"/>
    <x v="1"/>
    <x v="1"/>
    <x v="5"/>
    <n v="53"/>
    <n v="28.54"/>
    <n v="1512.62"/>
    <n v="1124.3599999999999"/>
    <n v="388.26"/>
    <x v="11"/>
  </r>
  <r>
    <s v="ORD00973"/>
    <d v="2025-09-30T00:00:00"/>
    <x v="1"/>
    <x v="1"/>
    <x v="2"/>
    <n v="177"/>
    <n v="14.13"/>
    <n v="2501.0100000000002"/>
    <n v="1837.74"/>
    <n v="663.27"/>
    <x v="9"/>
  </r>
  <r>
    <s v="ORD00974"/>
    <d v="2025-08-02T00:00:00"/>
    <x v="3"/>
    <x v="0"/>
    <x v="2"/>
    <n v="21"/>
    <n v="38.71"/>
    <n v="812.91"/>
    <n v="546.41"/>
    <n v="266.5"/>
    <x v="6"/>
  </r>
  <r>
    <s v="ORD00975"/>
    <d v="2025-12-06T00:00:00"/>
    <x v="3"/>
    <x v="1"/>
    <x v="2"/>
    <n v="111"/>
    <n v="29.94"/>
    <n v="3323.34"/>
    <n v="2290.67"/>
    <n v="1032.67"/>
    <x v="5"/>
  </r>
  <r>
    <s v="ORD00976"/>
    <d v="2025-03-30T00:00:00"/>
    <x v="5"/>
    <x v="0"/>
    <x v="4"/>
    <n v="244"/>
    <n v="14.94"/>
    <n v="3645.36"/>
    <n v="2855.67"/>
    <n v="789.69"/>
    <x v="4"/>
  </r>
  <r>
    <s v="ORD00977"/>
    <d v="2025-07-12T00:00:00"/>
    <x v="3"/>
    <x v="2"/>
    <x v="4"/>
    <n v="122"/>
    <n v="36.619999999999997"/>
    <n v="4467.6400000000003"/>
    <n v="2967.17"/>
    <n v="1500.47"/>
    <x v="8"/>
  </r>
  <r>
    <s v="ORD00978"/>
    <d v="2025-09-12T00:00:00"/>
    <x v="2"/>
    <x v="0"/>
    <x v="5"/>
    <n v="289"/>
    <n v="24.17"/>
    <n v="6985.13"/>
    <n v="4467.03"/>
    <n v="2518.1"/>
    <x v="9"/>
  </r>
  <r>
    <s v="ORD00979"/>
    <d v="2025-03-31T00:00:00"/>
    <x v="2"/>
    <x v="2"/>
    <x v="3"/>
    <n v="105"/>
    <n v="17.760000000000002"/>
    <n v="1864.8"/>
    <n v="1359.28"/>
    <n v="505.52"/>
    <x v="4"/>
  </r>
  <r>
    <s v="ORD00980"/>
    <d v="2025-03-29T00:00:00"/>
    <x v="0"/>
    <x v="0"/>
    <x v="5"/>
    <n v="270"/>
    <n v="36.090000000000003"/>
    <n v="9744.2999999999993"/>
    <n v="6412.55"/>
    <n v="3331.75"/>
    <x v="4"/>
  </r>
  <r>
    <s v="ORD00981"/>
    <d v="2025-09-05T00:00:00"/>
    <x v="5"/>
    <x v="0"/>
    <x v="3"/>
    <n v="66"/>
    <n v="14.04"/>
    <n v="926.64"/>
    <n v="613.19000000000005"/>
    <n v="313.45"/>
    <x v="9"/>
  </r>
  <r>
    <s v="ORD00982"/>
    <d v="2025-11-12T00:00:00"/>
    <x v="4"/>
    <x v="2"/>
    <x v="2"/>
    <n v="123"/>
    <n v="30.16"/>
    <n v="3709.68"/>
    <n v="2777.05"/>
    <n v="932.63"/>
    <x v="3"/>
  </r>
  <r>
    <s v="ORD00983"/>
    <d v="2025-07-06T00:00:00"/>
    <x v="1"/>
    <x v="2"/>
    <x v="4"/>
    <n v="262"/>
    <n v="23.45"/>
    <n v="6143.9"/>
    <n v="4878.01"/>
    <n v="1265.8900000000001"/>
    <x v="8"/>
  </r>
  <r>
    <s v="ORD00984"/>
    <d v="2025-02-11T00:00:00"/>
    <x v="0"/>
    <x v="2"/>
    <x v="2"/>
    <n v="26"/>
    <n v="27.76"/>
    <n v="721.76"/>
    <n v="532.5"/>
    <n v="189.26"/>
    <x v="2"/>
  </r>
  <r>
    <s v="ORD00985"/>
    <d v="2025-05-17T00:00:00"/>
    <x v="0"/>
    <x v="0"/>
    <x v="4"/>
    <n v="45"/>
    <n v="15.32"/>
    <n v="689.4"/>
    <n v="527.79"/>
    <n v="161.61000000000001"/>
    <x v="11"/>
  </r>
  <r>
    <s v="ORD00986"/>
    <d v="2025-11-13T00:00:00"/>
    <x v="5"/>
    <x v="1"/>
    <x v="3"/>
    <n v="127"/>
    <n v="23.2"/>
    <n v="2946.4"/>
    <n v="2257.06"/>
    <n v="689.34"/>
    <x v="3"/>
  </r>
  <r>
    <s v="ORD00987"/>
    <d v="2025-05-03T00:00:00"/>
    <x v="4"/>
    <x v="2"/>
    <x v="4"/>
    <n v="103"/>
    <n v="16.09"/>
    <n v="1657.27"/>
    <n v="1292.19"/>
    <n v="365.08"/>
    <x v="11"/>
  </r>
  <r>
    <s v="ORD00988"/>
    <d v="2025-03-09T00:00:00"/>
    <x v="1"/>
    <x v="2"/>
    <x v="5"/>
    <n v="182"/>
    <n v="21.18"/>
    <n v="3854.76"/>
    <n v="3014.11"/>
    <n v="840.65"/>
    <x v="4"/>
  </r>
  <r>
    <s v="ORD00989"/>
    <d v="2025-03-03T00:00:00"/>
    <x v="4"/>
    <x v="1"/>
    <x v="5"/>
    <n v="35"/>
    <n v="14.79"/>
    <n v="517.65"/>
    <n v="340.88"/>
    <n v="176.77"/>
    <x v="4"/>
  </r>
  <r>
    <s v="ORD00990"/>
    <d v="2025-02-14T00:00:00"/>
    <x v="4"/>
    <x v="2"/>
    <x v="4"/>
    <n v="114"/>
    <n v="39.69"/>
    <n v="4524.66"/>
    <n v="3113.14"/>
    <n v="1411.52"/>
    <x v="2"/>
  </r>
  <r>
    <s v="ORD00991"/>
    <d v="2025-01-31T00:00:00"/>
    <x v="5"/>
    <x v="2"/>
    <x v="1"/>
    <n v="156"/>
    <n v="16.829999999999998"/>
    <n v="2625.48"/>
    <n v="1623.33"/>
    <n v="1002.15"/>
    <x v="10"/>
  </r>
  <r>
    <s v="ORD00992"/>
    <d v="2025-11-10T00:00:00"/>
    <x v="3"/>
    <x v="1"/>
    <x v="2"/>
    <n v="83"/>
    <n v="21.46"/>
    <n v="1781.18"/>
    <n v="1262.08"/>
    <n v="519.1"/>
    <x v="3"/>
  </r>
  <r>
    <s v="ORD00993"/>
    <d v="2025-04-23T00:00:00"/>
    <x v="0"/>
    <x v="0"/>
    <x v="2"/>
    <n v="153"/>
    <n v="18.12"/>
    <n v="2772.36"/>
    <n v="2192.1799999999998"/>
    <n v="580.17999999999995"/>
    <x v="7"/>
  </r>
  <r>
    <s v="ORD00994"/>
    <d v="2025-12-22T00:00:00"/>
    <x v="2"/>
    <x v="1"/>
    <x v="0"/>
    <n v="166"/>
    <n v="21.88"/>
    <n v="3632.08"/>
    <n v="2342.02"/>
    <n v="1290.06"/>
    <x v="5"/>
  </r>
  <r>
    <s v="ORD00995"/>
    <d v="2025-08-25T00:00:00"/>
    <x v="0"/>
    <x v="2"/>
    <x v="5"/>
    <n v="271"/>
    <n v="20.440000000000001"/>
    <n v="5539.24"/>
    <n v="3860.54"/>
    <n v="1678.7"/>
    <x v="6"/>
  </r>
  <r>
    <s v="ORD00996"/>
    <d v="2025-07-02T00:00:00"/>
    <x v="5"/>
    <x v="2"/>
    <x v="1"/>
    <n v="215"/>
    <n v="16.29"/>
    <n v="3502.35"/>
    <n v="2344.7800000000002"/>
    <n v="1157.57"/>
    <x v="8"/>
  </r>
  <r>
    <s v="ORD00997"/>
    <d v="2025-03-22T00:00:00"/>
    <x v="2"/>
    <x v="1"/>
    <x v="3"/>
    <n v="278"/>
    <n v="32.93"/>
    <n v="9154.5400000000009"/>
    <n v="6270.98"/>
    <n v="2883.56"/>
    <x v="4"/>
  </r>
  <r>
    <s v="ORD00998"/>
    <d v="2025-04-18T00:00:00"/>
    <x v="0"/>
    <x v="0"/>
    <x v="0"/>
    <n v="111"/>
    <n v="29.61"/>
    <n v="3286.71"/>
    <n v="2135.5300000000002"/>
    <n v="1151.18"/>
    <x v="7"/>
  </r>
  <r>
    <s v="ORD00999"/>
    <d v="2025-05-22T00:00:00"/>
    <x v="3"/>
    <x v="2"/>
    <x v="3"/>
    <n v="188"/>
    <n v="29.07"/>
    <n v="5465.16"/>
    <n v="3806.37"/>
    <n v="1658.79"/>
    <x v="11"/>
  </r>
  <r>
    <s v="ORD01000"/>
    <d v="2025-04-22T00:00:00"/>
    <x v="4"/>
    <x v="1"/>
    <x v="2"/>
    <n v="171"/>
    <n v="23.12"/>
    <n v="3953.52"/>
    <n v="2373.62"/>
    <n v="1579.9"/>
    <x v="7"/>
  </r>
  <r>
    <s v="ORD01001"/>
    <d v="2025-10-10T00:00:00"/>
    <x v="2"/>
    <x v="2"/>
    <x v="2"/>
    <n v="292"/>
    <n v="28.05"/>
    <n v="8190.6"/>
    <n v="5939.88"/>
    <n v="2250.7199999999998"/>
    <x v="1"/>
  </r>
  <r>
    <s v="ORD01002"/>
    <d v="2025-05-30T00:00:00"/>
    <x v="3"/>
    <x v="1"/>
    <x v="5"/>
    <n v="58"/>
    <n v="33.590000000000003"/>
    <n v="1948.22"/>
    <n v="1433.17"/>
    <n v="515.04999999999995"/>
    <x v="11"/>
  </r>
  <r>
    <s v="ORD01003"/>
    <d v="2025-08-12T00:00:00"/>
    <x v="2"/>
    <x v="2"/>
    <x v="2"/>
    <n v="106"/>
    <n v="35.43"/>
    <n v="3755.58"/>
    <n v="2370.62"/>
    <n v="1384.96"/>
    <x v="6"/>
  </r>
  <r>
    <s v="ORD01004"/>
    <d v="2025-06-12T00:00:00"/>
    <x v="4"/>
    <x v="0"/>
    <x v="4"/>
    <n v="123"/>
    <n v="29.33"/>
    <n v="3607.59"/>
    <n v="2477.6999999999998"/>
    <n v="1129.8900000000001"/>
    <x v="0"/>
  </r>
  <r>
    <s v="ORD01005"/>
    <d v="2025-04-04T00:00:00"/>
    <x v="2"/>
    <x v="1"/>
    <x v="5"/>
    <n v="107"/>
    <n v="14.84"/>
    <n v="1587.88"/>
    <n v="1138.95"/>
    <n v="448.93"/>
    <x v="7"/>
  </r>
  <r>
    <s v="ORD01006"/>
    <d v="2025-09-15T00:00:00"/>
    <x v="2"/>
    <x v="1"/>
    <x v="4"/>
    <n v="258"/>
    <n v="35.1"/>
    <n v="9055.7999999999993"/>
    <n v="5463.77"/>
    <n v="3592.03"/>
    <x v="9"/>
  </r>
  <r>
    <s v="ORD01007"/>
    <d v="2025-11-27T00:00:00"/>
    <x v="4"/>
    <x v="2"/>
    <x v="5"/>
    <n v="62"/>
    <n v="26.14"/>
    <n v="1620.68"/>
    <n v="1042.95"/>
    <n v="577.73"/>
    <x v="3"/>
  </r>
  <r>
    <s v="ORD01008"/>
    <d v="2025-11-01T00:00:00"/>
    <x v="4"/>
    <x v="1"/>
    <x v="4"/>
    <n v="126"/>
    <n v="38.19"/>
    <n v="4811.9399999999996"/>
    <n v="3052.65"/>
    <n v="1759.29"/>
    <x v="3"/>
  </r>
  <r>
    <s v="ORD01009"/>
    <d v="2025-09-03T00:00:00"/>
    <x v="4"/>
    <x v="0"/>
    <x v="0"/>
    <n v="43"/>
    <n v="39.43"/>
    <n v="1695.49"/>
    <n v="1070.74"/>
    <n v="624.75"/>
    <x v="9"/>
  </r>
  <r>
    <s v="ORD01010"/>
    <d v="2025-10-09T00:00:00"/>
    <x v="1"/>
    <x v="0"/>
    <x v="2"/>
    <n v="61"/>
    <n v="11.8"/>
    <n v="719.8"/>
    <n v="514.29999999999995"/>
    <n v="205.5"/>
    <x v="1"/>
  </r>
  <r>
    <s v="ORD01011"/>
    <d v="2025-04-16T00:00:00"/>
    <x v="4"/>
    <x v="1"/>
    <x v="2"/>
    <n v="53"/>
    <n v="17.670000000000002"/>
    <n v="936.51"/>
    <n v="718.03"/>
    <n v="218.48"/>
    <x v="7"/>
  </r>
  <r>
    <s v="ORD01012"/>
    <d v="2025-05-09T00:00:00"/>
    <x v="4"/>
    <x v="0"/>
    <x v="5"/>
    <n v="10"/>
    <n v="19"/>
    <n v="190"/>
    <n v="131.54"/>
    <n v="58.46"/>
    <x v="11"/>
  </r>
  <r>
    <s v="ORD01013"/>
    <d v="2025-07-31T00:00:00"/>
    <x v="1"/>
    <x v="1"/>
    <x v="5"/>
    <n v="68"/>
    <n v="32.630000000000003"/>
    <n v="2218.84"/>
    <n v="1714.43"/>
    <n v="504.41"/>
    <x v="8"/>
  </r>
  <r>
    <s v="ORD01014"/>
    <d v="2025-02-25T00:00:00"/>
    <x v="2"/>
    <x v="0"/>
    <x v="0"/>
    <n v="241"/>
    <n v="30.91"/>
    <n v="7449.31"/>
    <n v="5632.17"/>
    <n v="1817.14"/>
    <x v="2"/>
  </r>
  <r>
    <s v="ORD01015"/>
    <d v="2025-01-19T00:00:00"/>
    <x v="0"/>
    <x v="1"/>
    <x v="2"/>
    <n v="170"/>
    <n v="32.71"/>
    <n v="5560.7"/>
    <n v="3794.34"/>
    <n v="1766.36"/>
    <x v="10"/>
  </r>
  <r>
    <s v="ORD01016"/>
    <d v="2025-06-09T00:00:00"/>
    <x v="0"/>
    <x v="2"/>
    <x v="1"/>
    <n v="223"/>
    <n v="12.18"/>
    <n v="2716.14"/>
    <n v="2144.61"/>
    <n v="571.53"/>
    <x v="0"/>
  </r>
  <r>
    <s v="ORD01017"/>
    <d v="2025-12-13T00:00:00"/>
    <x v="3"/>
    <x v="1"/>
    <x v="2"/>
    <n v="233"/>
    <n v="27.55"/>
    <n v="6419.15"/>
    <n v="4533.0200000000004"/>
    <n v="1886.13"/>
    <x v="5"/>
  </r>
  <r>
    <s v="ORD01018"/>
    <d v="2025-07-28T00:00:00"/>
    <x v="2"/>
    <x v="1"/>
    <x v="3"/>
    <n v="218"/>
    <n v="16.329999999999998"/>
    <n v="3559.94"/>
    <n v="2170.92"/>
    <n v="1389.02"/>
    <x v="8"/>
  </r>
  <r>
    <s v="ORD01019"/>
    <d v="2025-05-06T00:00:00"/>
    <x v="5"/>
    <x v="1"/>
    <x v="1"/>
    <n v="295"/>
    <n v="25.26"/>
    <n v="7451.7"/>
    <n v="4647.4799999999996"/>
    <n v="2804.22"/>
    <x v="11"/>
  </r>
  <r>
    <s v="ORD01020"/>
    <d v="2025-01-05T00:00:00"/>
    <x v="2"/>
    <x v="0"/>
    <x v="1"/>
    <n v="16"/>
    <n v="17.77"/>
    <n v="284.32"/>
    <n v="198.36"/>
    <n v="85.96"/>
    <x v="10"/>
  </r>
  <r>
    <s v="ORD01021"/>
    <d v="2025-03-09T00:00:00"/>
    <x v="2"/>
    <x v="0"/>
    <x v="5"/>
    <n v="163"/>
    <n v="23.02"/>
    <n v="3752.26"/>
    <n v="2728.3"/>
    <n v="1023.96"/>
    <x v="4"/>
  </r>
  <r>
    <s v="ORD01022"/>
    <d v="2025-07-21T00:00:00"/>
    <x v="3"/>
    <x v="2"/>
    <x v="0"/>
    <n v="11"/>
    <n v="29.73"/>
    <n v="327.02999999999997"/>
    <n v="197.65"/>
    <n v="129.38"/>
    <x v="8"/>
  </r>
  <r>
    <s v="ORD01023"/>
    <d v="2025-09-24T00:00:00"/>
    <x v="5"/>
    <x v="0"/>
    <x v="0"/>
    <n v="128"/>
    <n v="20.100000000000001"/>
    <n v="2572.8000000000002"/>
    <n v="1609.63"/>
    <n v="963.17"/>
    <x v="9"/>
  </r>
  <r>
    <s v="ORD01024"/>
    <d v="2025-01-23T00:00:00"/>
    <x v="2"/>
    <x v="0"/>
    <x v="4"/>
    <n v="161"/>
    <n v="19.170000000000002"/>
    <n v="3086.37"/>
    <n v="2188.7600000000002"/>
    <n v="897.61"/>
    <x v="10"/>
  </r>
  <r>
    <s v="ORD01025"/>
    <d v="2025-11-25T00:00:00"/>
    <x v="5"/>
    <x v="1"/>
    <x v="5"/>
    <n v="44"/>
    <n v="39.869999999999997"/>
    <n v="1754.28"/>
    <n v="1157.48"/>
    <n v="596.79999999999995"/>
    <x v="3"/>
  </r>
  <r>
    <s v="ORD01026"/>
    <d v="2025-04-02T00:00:00"/>
    <x v="1"/>
    <x v="0"/>
    <x v="3"/>
    <n v="212"/>
    <n v="29.1"/>
    <n v="6169.2"/>
    <n v="4614.55"/>
    <n v="1554.65"/>
    <x v="7"/>
  </r>
  <r>
    <s v="ORD01027"/>
    <d v="2025-08-26T00:00:00"/>
    <x v="1"/>
    <x v="1"/>
    <x v="2"/>
    <n v="163"/>
    <n v="24.61"/>
    <n v="4011.43"/>
    <n v="2763.02"/>
    <n v="1248.4100000000001"/>
    <x v="6"/>
  </r>
  <r>
    <s v="ORD01028"/>
    <d v="2025-07-14T00:00:00"/>
    <x v="3"/>
    <x v="1"/>
    <x v="3"/>
    <n v="112"/>
    <n v="19.649999999999999"/>
    <n v="2200.8000000000002"/>
    <n v="1604.93"/>
    <n v="595.87"/>
    <x v="8"/>
  </r>
  <r>
    <s v="ORD01029"/>
    <d v="2025-10-12T00:00:00"/>
    <x v="5"/>
    <x v="1"/>
    <x v="0"/>
    <n v="152"/>
    <n v="35.020000000000003"/>
    <n v="5323.04"/>
    <n v="3818"/>
    <n v="1505.04"/>
    <x v="1"/>
  </r>
  <r>
    <s v="ORD01030"/>
    <d v="2025-04-14T00:00:00"/>
    <x v="4"/>
    <x v="1"/>
    <x v="2"/>
    <n v="88"/>
    <n v="23.21"/>
    <n v="2042.48"/>
    <n v="1537.1"/>
    <n v="505.38"/>
    <x v="7"/>
  </r>
  <r>
    <s v="ORD01031"/>
    <d v="2025-11-05T00:00:00"/>
    <x v="4"/>
    <x v="0"/>
    <x v="4"/>
    <n v="275"/>
    <n v="15.14"/>
    <n v="4163.5"/>
    <n v="2621.9"/>
    <n v="1541.6"/>
    <x v="3"/>
  </r>
  <r>
    <s v="ORD01032"/>
    <d v="2025-10-15T00:00:00"/>
    <x v="3"/>
    <x v="2"/>
    <x v="0"/>
    <n v="18"/>
    <n v="22.49"/>
    <n v="404.82"/>
    <n v="245.63"/>
    <n v="159.19"/>
    <x v="1"/>
  </r>
  <r>
    <s v="ORD01033"/>
    <d v="2025-10-28T00:00:00"/>
    <x v="1"/>
    <x v="1"/>
    <x v="0"/>
    <n v="235"/>
    <n v="31.31"/>
    <n v="7357.85"/>
    <n v="4507.5200000000004"/>
    <n v="2850.33"/>
    <x v="1"/>
  </r>
  <r>
    <s v="ORD01034"/>
    <d v="2025-09-17T00:00:00"/>
    <x v="3"/>
    <x v="0"/>
    <x v="4"/>
    <n v="19"/>
    <n v="34.32"/>
    <n v="652.08000000000004"/>
    <n v="438.73"/>
    <n v="213.35"/>
    <x v="9"/>
  </r>
  <r>
    <s v="ORD01035"/>
    <d v="2025-01-14T00:00:00"/>
    <x v="1"/>
    <x v="2"/>
    <x v="2"/>
    <n v="87"/>
    <n v="25.11"/>
    <n v="2184.5700000000002"/>
    <n v="1589.63"/>
    <n v="594.94000000000005"/>
    <x v="10"/>
  </r>
  <r>
    <s v="ORD01036"/>
    <d v="2025-11-06T00:00:00"/>
    <x v="3"/>
    <x v="1"/>
    <x v="0"/>
    <n v="275"/>
    <n v="12.11"/>
    <n v="3330.25"/>
    <n v="2191.0500000000002"/>
    <n v="1139.2"/>
    <x v="3"/>
  </r>
  <r>
    <s v="ORD01037"/>
    <d v="2025-10-28T00:00:00"/>
    <x v="0"/>
    <x v="2"/>
    <x v="4"/>
    <n v="133"/>
    <n v="19.38"/>
    <n v="2577.54"/>
    <n v="2043.64"/>
    <n v="533.9"/>
    <x v="1"/>
  </r>
  <r>
    <s v="ORD01038"/>
    <d v="2025-10-06T00:00:00"/>
    <x v="1"/>
    <x v="0"/>
    <x v="1"/>
    <n v="219"/>
    <n v="19.16"/>
    <n v="4196.04"/>
    <n v="2566.63"/>
    <n v="1629.41"/>
    <x v="1"/>
  </r>
  <r>
    <s v="ORD01039"/>
    <d v="2025-02-02T00:00:00"/>
    <x v="4"/>
    <x v="2"/>
    <x v="1"/>
    <n v="120"/>
    <n v="27.63"/>
    <n v="3315.6"/>
    <n v="2467.48"/>
    <n v="848.12"/>
    <x v="2"/>
  </r>
  <r>
    <s v="ORD01040"/>
    <d v="2025-05-29T00:00:00"/>
    <x v="3"/>
    <x v="2"/>
    <x v="0"/>
    <n v="105"/>
    <n v="27.23"/>
    <n v="2859.15"/>
    <n v="1727.72"/>
    <n v="1131.43"/>
    <x v="11"/>
  </r>
  <r>
    <s v="ORD01041"/>
    <d v="2025-06-03T00:00:00"/>
    <x v="1"/>
    <x v="0"/>
    <x v="3"/>
    <n v="291"/>
    <n v="18.239999999999998"/>
    <n v="5307.84"/>
    <n v="3866.75"/>
    <n v="1441.09"/>
    <x v="0"/>
  </r>
  <r>
    <s v="ORD01042"/>
    <d v="2025-09-11T00:00:00"/>
    <x v="0"/>
    <x v="2"/>
    <x v="0"/>
    <n v="184"/>
    <n v="16.87"/>
    <n v="3104.08"/>
    <n v="1933.8"/>
    <n v="1170.28"/>
    <x v="9"/>
  </r>
  <r>
    <s v="ORD01043"/>
    <d v="2025-06-07T00:00:00"/>
    <x v="0"/>
    <x v="1"/>
    <x v="3"/>
    <n v="201"/>
    <n v="17.420000000000002"/>
    <n v="3501.42"/>
    <n v="2740.74"/>
    <n v="760.68"/>
    <x v="0"/>
  </r>
  <r>
    <s v="ORD01044"/>
    <d v="2025-11-03T00:00:00"/>
    <x v="4"/>
    <x v="2"/>
    <x v="2"/>
    <n v="133"/>
    <n v="39.71"/>
    <n v="5281.43"/>
    <n v="4165.22"/>
    <n v="1116.21"/>
    <x v="3"/>
  </r>
  <r>
    <s v="ORD01045"/>
    <d v="2025-03-11T00:00:00"/>
    <x v="0"/>
    <x v="0"/>
    <x v="4"/>
    <n v="290"/>
    <n v="29.43"/>
    <n v="8534.7000000000007"/>
    <n v="6502.91"/>
    <n v="2031.79"/>
    <x v="4"/>
  </r>
  <r>
    <s v="ORD01046"/>
    <d v="2025-05-12T00:00:00"/>
    <x v="2"/>
    <x v="1"/>
    <x v="1"/>
    <n v="99"/>
    <n v="20.81"/>
    <n v="2060.19"/>
    <n v="1520.36"/>
    <n v="539.83000000000004"/>
    <x v="11"/>
  </r>
  <r>
    <s v="ORD01047"/>
    <d v="2025-03-31T00:00:00"/>
    <x v="2"/>
    <x v="1"/>
    <x v="5"/>
    <n v="59"/>
    <n v="19.010000000000002"/>
    <n v="1121.5899999999999"/>
    <n v="852.65"/>
    <n v="268.94"/>
    <x v="4"/>
  </r>
  <r>
    <s v="ORD01048"/>
    <d v="2025-11-29T00:00:00"/>
    <x v="2"/>
    <x v="1"/>
    <x v="1"/>
    <n v="280"/>
    <n v="30.62"/>
    <n v="8573.6"/>
    <n v="5218.1099999999997"/>
    <n v="3355.49"/>
    <x v="3"/>
  </r>
  <r>
    <s v="ORD01049"/>
    <d v="2025-12-17T00:00:00"/>
    <x v="0"/>
    <x v="2"/>
    <x v="5"/>
    <n v="227"/>
    <n v="15.87"/>
    <n v="3602.49"/>
    <n v="2641.75"/>
    <n v="960.74"/>
    <x v="5"/>
  </r>
  <r>
    <s v="ORD01050"/>
    <d v="2025-05-27T00:00:00"/>
    <x v="3"/>
    <x v="0"/>
    <x v="1"/>
    <n v="216"/>
    <n v="29.75"/>
    <n v="6426"/>
    <n v="4369.45"/>
    <n v="2056.5500000000002"/>
    <x v="11"/>
  </r>
  <r>
    <s v="ORD01051"/>
    <d v="2025-03-14T00:00:00"/>
    <x v="3"/>
    <x v="0"/>
    <x v="4"/>
    <n v="272"/>
    <n v="33.32"/>
    <n v="9063.0400000000009"/>
    <n v="7236.95"/>
    <n v="1826.09"/>
    <x v="4"/>
  </r>
  <r>
    <s v="ORD01052"/>
    <d v="2025-05-04T00:00:00"/>
    <x v="4"/>
    <x v="1"/>
    <x v="1"/>
    <n v="48"/>
    <n v="31.45"/>
    <n v="1509.6"/>
    <n v="1189.1400000000001"/>
    <n v="320.45999999999998"/>
    <x v="11"/>
  </r>
  <r>
    <s v="ORD01053"/>
    <d v="2025-09-01T00:00:00"/>
    <x v="2"/>
    <x v="2"/>
    <x v="5"/>
    <n v="180"/>
    <n v="19.37"/>
    <n v="3486.6"/>
    <n v="2348.89"/>
    <n v="1137.71"/>
    <x v="9"/>
  </r>
  <r>
    <s v="ORD01054"/>
    <d v="2025-04-01T00:00:00"/>
    <x v="0"/>
    <x v="0"/>
    <x v="1"/>
    <n v="97"/>
    <n v="12.66"/>
    <n v="1228.02"/>
    <n v="955.93"/>
    <n v="272.08999999999997"/>
    <x v="7"/>
  </r>
  <r>
    <s v="ORD01055"/>
    <d v="2025-06-22T00:00:00"/>
    <x v="0"/>
    <x v="0"/>
    <x v="0"/>
    <n v="62"/>
    <n v="25.74"/>
    <n v="1595.88"/>
    <n v="1003.34"/>
    <n v="592.54"/>
    <x v="0"/>
  </r>
  <r>
    <s v="ORD01056"/>
    <d v="2025-05-28T00:00:00"/>
    <x v="1"/>
    <x v="1"/>
    <x v="2"/>
    <n v="164"/>
    <n v="12.46"/>
    <n v="2043.44"/>
    <n v="1310.23"/>
    <n v="733.21"/>
    <x v="11"/>
  </r>
  <r>
    <s v="ORD01057"/>
    <d v="2025-07-14T00:00:00"/>
    <x v="3"/>
    <x v="0"/>
    <x v="4"/>
    <n v="248"/>
    <n v="10.38"/>
    <n v="2574.2399999999998"/>
    <n v="1988.1"/>
    <n v="586.14"/>
    <x v="8"/>
  </r>
  <r>
    <s v="ORD01058"/>
    <d v="2025-04-27T00:00:00"/>
    <x v="1"/>
    <x v="1"/>
    <x v="5"/>
    <n v="216"/>
    <n v="17.59"/>
    <n v="3799.44"/>
    <n v="2298.12"/>
    <n v="1501.32"/>
    <x v="7"/>
  </r>
  <r>
    <s v="ORD01059"/>
    <d v="2025-08-03T00:00:00"/>
    <x v="2"/>
    <x v="0"/>
    <x v="0"/>
    <n v="268"/>
    <n v="12.71"/>
    <n v="3406.28"/>
    <n v="2349.25"/>
    <n v="1057.03"/>
    <x v="6"/>
  </r>
  <r>
    <s v="ORD01060"/>
    <d v="2025-10-21T00:00:00"/>
    <x v="0"/>
    <x v="0"/>
    <x v="5"/>
    <n v="26"/>
    <n v="36.6"/>
    <n v="951.6"/>
    <n v="594.67999999999995"/>
    <n v="356.92"/>
    <x v="1"/>
  </r>
  <r>
    <s v="ORD01061"/>
    <d v="2025-12-31T00:00:00"/>
    <x v="2"/>
    <x v="2"/>
    <x v="1"/>
    <n v="258"/>
    <n v="26.49"/>
    <n v="6834.42"/>
    <n v="5211.7299999999996"/>
    <n v="1622.69"/>
    <x v="5"/>
  </r>
  <r>
    <s v="ORD01062"/>
    <d v="2025-05-17T00:00:00"/>
    <x v="5"/>
    <x v="2"/>
    <x v="5"/>
    <n v="187"/>
    <n v="21.97"/>
    <n v="4108.3900000000003"/>
    <n v="2622.21"/>
    <n v="1486.18"/>
    <x v="11"/>
  </r>
  <r>
    <s v="ORD01063"/>
    <d v="2025-11-18T00:00:00"/>
    <x v="4"/>
    <x v="2"/>
    <x v="5"/>
    <n v="181"/>
    <n v="27.98"/>
    <n v="5064.38"/>
    <n v="3972.41"/>
    <n v="1091.97"/>
    <x v="3"/>
  </r>
  <r>
    <s v="ORD01064"/>
    <d v="2025-06-16T00:00:00"/>
    <x v="1"/>
    <x v="0"/>
    <x v="0"/>
    <n v="34"/>
    <n v="37.840000000000003"/>
    <n v="1286.56"/>
    <n v="867.43"/>
    <n v="419.13"/>
    <x v="0"/>
  </r>
  <r>
    <s v="ORD01065"/>
    <d v="2025-05-11T00:00:00"/>
    <x v="0"/>
    <x v="1"/>
    <x v="1"/>
    <n v="143"/>
    <n v="29.88"/>
    <n v="4272.84"/>
    <n v="3364.71"/>
    <n v="908.13"/>
    <x v="11"/>
  </r>
  <r>
    <s v="ORD01066"/>
    <d v="2025-08-25T00:00:00"/>
    <x v="1"/>
    <x v="2"/>
    <x v="3"/>
    <n v="249"/>
    <n v="32.79"/>
    <n v="8164.71"/>
    <n v="5417.62"/>
    <n v="2747.09"/>
    <x v="6"/>
  </r>
  <r>
    <s v="ORD01067"/>
    <d v="2025-03-31T00:00:00"/>
    <x v="5"/>
    <x v="0"/>
    <x v="2"/>
    <n v="68"/>
    <n v="17.45"/>
    <n v="1186.5999999999999"/>
    <n v="874.21"/>
    <n v="312.39"/>
    <x v="4"/>
  </r>
  <r>
    <s v="ORD01068"/>
    <d v="2025-03-11T00:00:00"/>
    <x v="4"/>
    <x v="2"/>
    <x v="1"/>
    <n v="117"/>
    <n v="24.79"/>
    <n v="2900.43"/>
    <n v="1934.2"/>
    <n v="966.23"/>
    <x v="4"/>
  </r>
  <r>
    <s v="ORD01069"/>
    <d v="2025-09-04T00:00:00"/>
    <x v="1"/>
    <x v="0"/>
    <x v="1"/>
    <n v="33"/>
    <n v="28.95"/>
    <n v="955.35"/>
    <n v="606.35"/>
    <n v="349"/>
    <x v="9"/>
  </r>
  <r>
    <s v="ORD01070"/>
    <d v="2025-02-08T00:00:00"/>
    <x v="3"/>
    <x v="2"/>
    <x v="1"/>
    <n v="44"/>
    <n v="23.58"/>
    <n v="1037.52"/>
    <n v="626.21"/>
    <n v="411.31"/>
    <x v="2"/>
  </r>
  <r>
    <s v="ORD01071"/>
    <d v="2025-09-16T00:00:00"/>
    <x v="1"/>
    <x v="2"/>
    <x v="1"/>
    <n v="54"/>
    <n v="22.41"/>
    <n v="1210.1400000000001"/>
    <n v="931.75"/>
    <n v="278.39"/>
    <x v="9"/>
  </r>
  <r>
    <s v="ORD01072"/>
    <d v="2025-05-02T00:00:00"/>
    <x v="3"/>
    <x v="0"/>
    <x v="5"/>
    <n v="183"/>
    <n v="19.149999999999999"/>
    <n v="3504.45"/>
    <n v="2447.15"/>
    <n v="1057.3"/>
    <x v="11"/>
  </r>
  <r>
    <s v="ORD01073"/>
    <d v="2025-09-16T00:00:00"/>
    <x v="3"/>
    <x v="0"/>
    <x v="2"/>
    <n v="14"/>
    <n v="19.690000000000001"/>
    <n v="275.66000000000003"/>
    <n v="198.85"/>
    <n v="76.81"/>
    <x v="9"/>
  </r>
  <r>
    <s v="ORD01074"/>
    <d v="2025-06-21T00:00:00"/>
    <x v="3"/>
    <x v="1"/>
    <x v="5"/>
    <n v="16"/>
    <n v="10.8"/>
    <n v="172.8"/>
    <n v="132.79"/>
    <n v="40.01"/>
    <x v="0"/>
  </r>
  <r>
    <s v="ORD01075"/>
    <d v="2025-09-10T00:00:00"/>
    <x v="0"/>
    <x v="1"/>
    <x v="4"/>
    <n v="201"/>
    <n v="35.11"/>
    <n v="7057.11"/>
    <n v="5061.18"/>
    <n v="1995.93"/>
    <x v="9"/>
  </r>
  <r>
    <s v="ORD01076"/>
    <d v="2025-07-16T00:00:00"/>
    <x v="3"/>
    <x v="2"/>
    <x v="3"/>
    <n v="143"/>
    <n v="22.28"/>
    <n v="3186.04"/>
    <n v="2522.54"/>
    <n v="663.5"/>
    <x v="8"/>
  </r>
  <r>
    <s v="ORD01077"/>
    <d v="2025-07-12T00:00:00"/>
    <x v="1"/>
    <x v="1"/>
    <x v="5"/>
    <n v="63"/>
    <n v="24.76"/>
    <n v="1559.88"/>
    <n v="1062.0899999999999"/>
    <n v="497.79"/>
    <x v="8"/>
  </r>
  <r>
    <s v="ORD01078"/>
    <d v="2025-08-10T00:00:00"/>
    <x v="0"/>
    <x v="1"/>
    <x v="0"/>
    <n v="268"/>
    <n v="27.95"/>
    <n v="7490.6"/>
    <n v="4667.84"/>
    <n v="2822.76"/>
    <x v="6"/>
  </r>
  <r>
    <s v="ORD01079"/>
    <d v="2025-01-24T00:00:00"/>
    <x v="1"/>
    <x v="1"/>
    <x v="2"/>
    <n v="225"/>
    <n v="29.95"/>
    <n v="6738.75"/>
    <n v="4415.9799999999996"/>
    <n v="2322.77"/>
    <x v="10"/>
  </r>
  <r>
    <s v="ORD01080"/>
    <d v="2025-06-29T00:00:00"/>
    <x v="0"/>
    <x v="2"/>
    <x v="4"/>
    <n v="249"/>
    <n v="21.37"/>
    <n v="5321.13"/>
    <n v="3507.65"/>
    <n v="1813.48"/>
    <x v="0"/>
  </r>
  <r>
    <s v="ORD01081"/>
    <d v="2025-06-19T00:00:00"/>
    <x v="0"/>
    <x v="1"/>
    <x v="3"/>
    <n v="167"/>
    <n v="26.29"/>
    <n v="4390.43"/>
    <n v="3449.42"/>
    <n v="941.01"/>
    <x v="0"/>
  </r>
  <r>
    <s v="ORD01082"/>
    <d v="2025-12-04T00:00:00"/>
    <x v="5"/>
    <x v="2"/>
    <x v="3"/>
    <n v="24"/>
    <n v="22.91"/>
    <n v="549.84"/>
    <n v="426.98"/>
    <n v="122.86"/>
    <x v="5"/>
  </r>
  <r>
    <s v="ORD01083"/>
    <d v="2025-03-16T00:00:00"/>
    <x v="1"/>
    <x v="2"/>
    <x v="0"/>
    <n v="254"/>
    <n v="19.12"/>
    <n v="4856.4799999999996"/>
    <n v="3790.46"/>
    <n v="1066.02"/>
    <x v="4"/>
  </r>
  <r>
    <s v="ORD01084"/>
    <d v="2025-12-08T00:00:00"/>
    <x v="5"/>
    <x v="0"/>
    <x v="2"/>
    <n v="17"/>
    <n v="14.43"/>
    <n v="245.31"/>
    <n v="182.01"/>
    <n v="63.3"/>
    <x v="5"/>
  </r>
  <r>
    <s v="ORD01085"/>
    <d v="2025-01-16T00:00:00"/>
    <x v="3"/>
    <x v="0"/>
    <x v="5"/>
    <n v="94"/>
    <n v="34.01"/>
    <n v="3196.94"/>
    <n v="2070.4"/>
    <n v="1126.54"/>
    <x v="10"/>
  </r>
  <r>
    <s v="ORD01086"/>
    <d v="2025-12-27T00:00:00"/>
    <x v="0"/>
    <x v="2"/>
    <x v="2"/>
    <n v="280"/>
    <n v="39.380000000000003"/>
    <n v="11026.4"/>
    <n v="8313.25"/>
    <n v="2713.15"/>
    <x v="5"/>
  </r>
  <r>
    <s v="ORD01087"/>
    <d v="2025-02-21T00:00:00"/>
    <x v="4"/>
    <x v="0"/>
    <x v="1"/>
    <n v="136"/>
    <n v="23.18"/>
    <n v="3152.48"/>
    <n v="2450.3000000000002"/>
    <n v="702.18"/>
    <x v="2"/>
  </r>
  <r>
    <s v="ORD01088"/>
    <d v="2025-03-31T00:00:00"/>
    <x v="4"/>
    <x v="0"/>
    <x v="3"/>
    <n v="295"/>
    <n v="38.86"/>
    <n v="11463.7"/>
    <n v="7540.58"/>
    <n v="3923.12"/>
    <x v="4"/>
  </r>
  <r>
    <s v="ORD01089"/>
    <d v="2025-05-19T00:00:00"/>
    <x v="1"/>
    <x v="1"/>
    <x v="3"/>
    <n v="262"/>
    <n v="11.57"/>
    <n v="3031.34"/>
    <n v="1892.88"/>
    <n v="1138.46"/>
    <x v="11"/>
  </r>
  <r>
    <s v="ORD01090"/>
    <d v="2025-12-15T00:00:00"/>
    <x v="3"/>
    <x v="0"/>
    <x v="0"/>
    <n v="42"/>
    <n v="19.79"/>
    <n v="831.18"/>
    <n v="510.53"/>
    <n v="320.64999999999998"/>
    <x v="5"/>
  </r>
  <r>
    <s v="ORD01091"/>
    <d v="2025-10-05T00:00:00"/>
    <x v="3"/>
    <x v="2"/>
    <x v="2"/>
    <n v="30"/>
    <n v="27.41"/>
    <n v="822.3"/>
    <n v="513.41"/>
    <n v="308.89"/>
    <x v="1"/>
  </r>
  <r>
    <s v="ORD01092"/>
    <d v="2025-09-07T00:00:00"/>
    <x v="4"/>
    <x v="0"/>
    <x v="4"/>
    <n v="71"/>
    <n v="16.5"/>
    <n v="1171.5"/>
    <n v="923.04"/>
    <n v="248.46"/>
    <x v="9"/>
  </r>
  <r>
    <s v="ORD01093"/>
    <d v="2025-01-28T00:00:00"/>
    <x v="3"/>
    <x v="2"/>
    <x v="3"/>
    <n v="142"/>
    <n v="12.93"/>
    <n v="1836.06"/>
    <n v="1383.08"/>
    <n v="452.98"/>
    <x v="10"/>
  </r>
  <r>
    <s v="ORD01094"/>
    <d v="2025-06-17T00:00:00"/>
    <x v="5"/>
    <x v="1"/>
    <x v="5"/>
    <n v="76"/>
    <n v="37.630000000000003"/>
    <n v="2859.88"/>
    <n v="1895.26"/>
    <n v="964.62"/>
    <x v="0"/>
  </r>
  <r>
    <s v="ORD01095"/>
    <d v="2025-03-16T00:00:00"/>
    <x v="0"/>
    <x v="2"/>
    <x v="2"/>
    <n v="300"/>
    <n v="23.44"/>
    <n v="7032"/>
    <n v="5352.5"/>
    <n v="1679.5"/>
    <x v="4"/>
  </r>
  <r>
    <s v="ORD01096"/>
    <d v="2025-03-11T00:00:00"/>
    <x v="5"/>
    <x v="0"/>
    <x v="5"/>
    <n v="200"/>
    <n v="36.68"/>
    <n v="7336"/>
    <n v="4757.08"/>
    <n v="2578.92"/>
    <x v="4"/>
  </r>
  <r>
    <s v="ORD01097"/>
    <d v="2025-03-04T00:00:00"/>
    <x v="4"/>
    <x v="1"/>
    <x v="4"/>
    <n v="113"/>
    <n v="33.35"/>
    <n v="3768.55"/>
    <n v="2838.72"/>
    <n v="929.83"/>
    <x v="4"/>
  </r>
  <r>
    <s v="ORD01098"/>
    <d v="2025-05-25T00:00:00"/>
    <x v="3"/>
    <x v="0"/>
    <x v="4"/>
    <n v="248"/>
    <n v="34.19"/>
    <n v="8479.1200000000008"/>
    <n v="6003.87"/>
    <n v="2475.25"/>
    <x v="11"/>
  </r>
  <r>
    <s v="ORD01099"/>
    <d v="2025-06-28T00:00:00"/>
    <x v="1"/>
    <x v="0"/>
    <x v="4"/>
    <n v="215"/>
    <n v="36.4"/>
    <n v="7826"/>
    <n v="4948.95"/>
    <n v="2877.05"/>
    <x v="0"/>
  </r>
  <r>
    <s v="ORD01100"/>
    <d v="2025-12-08T00:00:00"/>
    <x v="5"/>
    <x v="0"/>
    <x v="1"/>
    <n v="215"/>
    <n v="12.5"/>
    <n v="2687.5"/>
    <n v="1745.18"/>
    <n v="942.32"/>
    <x v="5"/>
  </r>
  <r>
    <s v="ORD01101"/>
    <d v="2025-11-17T00:00:00"/>
    <x v="2"/>
    <x v="0"/>
    <x v="3"/>
    <n v="240"/>
    <n v="13.5"/>
    <n v="3240"/>
    <n v="2201.1799999999998"/>
    <n v="1038.82"/>
    <x v="3"/>
  </r>
  <r>
    <s v="ORD01102"/>
    <d v="2025-08-12T00:00:00"/>
    <x v="5"/>
    <x v="0"/>
    <x v="1"/>
    <n v="187"/>
    <n v="33.53"/>
    <n v="6270.11"/>
    <n v="4428.8599999999997"/>
    <n v="1841.25"/>
    <x v="6"/>
  </r>
  <r>
    <s v="ORD01103"/>
    <d v="2025-02-04T00:00:00"/>
    <x v="1"/>
    <x v="0"/>
    <x v="1"/>
    <n v="159"/>
    <n v="22.56"/>
    <n v="3587.04"/>
    <n v="2361.69"/>
    <n v="1225.3499999999999"/>
    <x v="2"/>
  </r>
  <r>
    <s v="ORD01104"/>
    <d v="2025-06-16T00:00:00"/>
    <x v="5"/>
    <x v="1"/>
    <x v="0"/>
    <n v="237"/>
    <n v="18.47"/>
    <n v="4377.3900000000003"/>
    <n v="3382.86"/>
    <n v="994.53"/>
    <x v="0"/>
  </r>
  <r>
    <s v="ORD01105"/>
    <d v="2025-07-14T00:00:00"/>
    <x v="0"/>
    <x v="1"/>
    <x v="1"/>
    <n v="55"/>
    <n v="38.18"/>
    <n v="2099.9"/>
    <n v="1448.78"/>
    <n v="651.12"/>
    <x v="8"/>
  </r>
  <r>
    <s v="ORD01106"/>
    <d v="2025-05-12T00:00:00"/>
    <x v="0"/>
    <x v="2"/>
    <x v="5"/>
    <n v="263"/>
    <n v="17.760000000000002"/>
    <n v="4670.88"/>
    <n v="2898.86"/>
    <n v="1772.02"/>
    <x v="11"/>
  </r>
  <r>
    <s v="ORD01107"/>
    <d v="2025-03-22T00:00:00"/>
    <x v="3"/>
    <x v="1"/>
    <x v="0"/>
    <n v="271"/>
    <n v="22.97"/>
    <n v="6224.87"/>
    <n v="4968.24"/>
    <n v="1256.6300000000001"/>
    <x v="4"/>
  </r>
  <r>
    <s v="ORD01108"/>
    <d v="2025-07-12T00:00:00"/>
    <x v="1"/>
    <x v="1"/>
    <x v="5"/>
    <n v="73"/>
    <n v="26.71"/>
    <n v="1949.83"/>
    <n v="1451.99"/>
    <n v="497.84"/>
    <x v="8"/>
  </r>
  <r>
    <s v="ORD01109"/>
    <d v="2025-03-21T00:00:00"/>
    <x v="4"/>
    <x v="1"/>
    <x v="1"/>
    <n v="167"/>
    <n v="22.31"/>
    <n v="3725.77"/>
    <n v="2331.04"/>
    <n v="1394.73"/>
    <x v="4"/>
  </r>
  <r>
    <s v="ORD01110"/>
    <d v="2025-05-28T00:00:00"/>
    <x v="2"/>
    <x v="1"/>
    <x v="5"/>
    <n v="254"/>
    <n v="28.36"/>
    <n v="7203.44"/>
    <n v="5217.04"/>
    <n v="1986.4"/>
    <x v="11"/>
  </r>
  <r>
    <s v="ORD01111"/>
    <d v="2025-09-14T00:00:00"/>
    <x v="1"/>
    <x v="1"/>
    <x v="3"/>
    <n v="18"/>
    <n v="22.4"/>
    <n v="403.2"/>
    <n v="321.83"/>
    <n v="81.37"/>
    <x v="9"/>
  </r>
  <r>
    <s v="ORD01112"/>
    <d v="2025-09-12T00:00:00"/>
    <x v="3"/>
    <x v="0"/>
    <x v="1"/>
    <n v="201"/>
    <n v="36.29"/>
    <n v="7294.29"/>
    <n v="5651.6"/>
    <n v="1642.69"/>
    <x v="9"/>
  </r>
  <r>
    <s v="ORD01113"/>
    <d v="2025-07-30T00:00:00"/>
    <x v="1"/>
    <x v="0"/>
    <x v="5"/>
    <n v="110"/>
    <n v="30.94"/>
    <n v="3403.4"/>
    <n v="2506.52"/>
    <n v="896.88"/>
    <x v="8"/>
  </r>
  <r>
    <s v="ORD01114"/>
    <d v="2025-04-24T00:00:00"/>
    <x v="0"/>
    <x v="2"/>
    <x v="5"/>
    <n v="168"/>
    <n v="21.26"/>
    <n v="3571.68"/>
    <n v="2439.23"/>
    <n v="1132.45"/>
    <x v="7"/>
  </r>
  <r>
    <s v="ORD01115"/>
    <d v="2025-08-21T00:00:00"/>
    <x v="1"/>
    <x v="1"/>
    <x v="3"/>
    <n v="231"/>
    <n v="20.97"/>
    <n v="4844.07"/>
    <n v="3010.52"/>
    <n v="1833.55"/>
    <x v="6"/>
  </r>
  <r>
    <s v="ORD01116"/>
    <d v="2025-02-28T00:00:00"/>
    <x v="5"/>
    <x v="1"/>
    <x v="3"/>
    <n v="238"/>
    <n v="32.799999999999997"/>
    <n v="7806.4"/>
    <n v="6145.4"/>
    <n v="1661"/>
    <x v="2"/>
  </r>
  <r>
    <s v="ORD01117"/>
    <d v="2025-08-03T00:00:00"/>
    <x v="0"/>
    <x v="2"/>
    <x v="1"/>
    <n v="97"/>
    <n v="17.2"/>
    <n v="1668.4"/>
    <n v="1210.19"/>
    <n v="458.21"/>
    <x v="6"/>
  </r>
  <r>
    <s v="ORD01118"/>
    <d v="2025-06-18T00:00:00"/>
    <x v="5"/>
    <x v="1"/>
    <x v="4"/>
    <n v="138"/>
    <n v="21.57"/>
    <n v="2976.66"/>
    <n v="2381.0100000000002"/>
    <n v="595.65"/>
    <x v="0"/>
  </r>
  <r>
    <s v="ORD01119"/>
    <d v="2025-09-13T00:00:00"/>
    <x v="2"/>
    <x v="0"/>
    <x v="0"/>
    <n v="298"/>
    <n v="25.33"/>
    <n v="7548.34"/>
    <n v="5527.73"/>
    <n v="2020.61"/>
    <x v="9"/>
  </r>
  <r>
    <s v="ORD01120"/>
    <d v="2025-06-02T00:00:00"/>
    <x v="4"/>
    <x v="1"/>
    <x v="3"/>
    <n v="50"/>
    <n v="36.68"/>
    <n v="1834"/>
    <n v="1187.1099999999999"/>
    <n v="646.89"/>
    <x v="0"/>
  </r>
  <r>
    <s v="ORD01121"/>
    <d v="2025-07-29T00:00:00"/>
    <x v="2"/>
    <x v="2"/>
    <x v="2"/>
    <n v="282"/>
    <n v="12.3"/>
    <n v="3468.6"/>
    <n v="2588.94"/>
    <n v="879.66"/>
    <x v="8"/>
  </r>
  <r>
    <s v="ORD01122"/>
    <d v="2025-12-19T00:00:00"/>
    <x v="5"/>
    <x v="1"/>
    <x v="0"/>
    <n v="57"/>
    <n v="21.41"/>
    <n v="1220.3699999999999"/>
    <n v="956.54"/>
    <n v="263.83"/>
    <x v="5"/>
  </r>
  <r>
    <s v="ORD01123"/>
    <d v="2025-02-04T00:00:00"/>
    <x v="2"/>
    <x v="0"/>
    <x v="4"/>
    <n v="82"/>
    <n v="26.6"/>
    <n v="2181.1999999999998"/>
    <n v="1594.17"/>
    <n v="587.03"/>
    <x v="2"/>
  </r>
  <r>
    <s v="ORD01124"/>
    <d v="2025-02-10T00:00:00"/>
    <x v="3"/>
    <x v="2"/>
    <x v="5"/>
    <n v="259"/>
    <n v="19.75"/>
    <n v="5115.25"/>
    <n v="3950.23"/>
    <n v="1165.02"/>
    <x v="2"/>
  </r>
  <r>
    <s v="ORD01125"/>
    <d v="2025-05-23T00:00:00"/>
    <x v="2"/>
    <x v="1"/>
    <x v="2"/>
    <n v="200"/>
    <n v="23.37"/>
    <n v="4674"/>
    <n v="3022.14"/>
    <n v="1651.86"/>
    <x v="11"/>
  </r>
  <r>
    <s v="ORD01126"/>
    <d v="2025-03-23T00:00:00"/>
    <x v="2"/>
    <x v="2"/>
    <x v="5"/>
    <n v="242"/>
    <n v="38.369999999999997"/>
    <n v="9285.5400000000009"/>
    <n v="7244.48"/>
    <n v="2041.06"/>
    <x v="4"/>
  </r>
  <r>
    <s v="ORD01127"/>
    <d v="2025-12-01T00:00:00"/>
    <x v="4"/>
    <x v="1"/>
    <x v="5"/>
    <n v="211"/>
    <n v="32.880000000000003"/>
    <n v="6937.68"/>
    <n v="4253"/>
    <n v="2684.68"/>
    <x v="5"/>
  </r>
  <r>
    <s v="ORD01128"/>
    <d v="2025-05-21T00:00:00"/>
    <x v="0"/>
    <x v="1"/>
    <x v="1"/>
    <n v="282"/>
    <n v="17.09"/>
    <n v="4819.38"/>
    <n v="3671.47"/>
    <n v="1147.9100000000001"/>
    <x v="11"/>
  </r>
  <r>
    <s v="ORD01129"/>
    <d v="2025-04-29T00:00:00"/>
    <x v="3"/>
    <x v="2"/>
    <x v="5"/>
    <n v="173"/>
    <n v="10.39"/>
    <n v="1797.47"/>
    <n v="1238.33"/>
    <n v="559.14"/>
    <x v="7"/>
  </r>
  <r>
    <s v="ORD01130"/>
    <d v="2025-07-10T00:00:00"/>
    <x v="2"/>
    <x v="1"/>
    <x v="2"/>
    <n v="164"/>
    <n v="24.97"/>
    <n v="4095.08"/>
    <n v="2926.11"/>
    <n v="1168.97"/>
    <x v="8"/>
  </r>
  <r>
    <s v="ORD01131"/>
    <d v="2025-11-21T00:00:00"/>
    <x v="4"/>
    <x v="2"/>
    <x v="1"/>
    <n v="189"/>
    <n v="26.83"/>
    <n v="5070.87"/>
    <n v="3526.96"/>
    <n v="1543.91"/>
    <x v="3"/>
  </r>
  <r>
    <s v="ORD01132"/>
    <d v="2025-02-12T00:00:00"/>
    <x v="0"/>
    <x v="2"/>
    <x v="5"/>
    <n v="15"/>
    <n v="27.26"/>
    <n v="408.9"/>
    <n v="306.86"/>
    <n v="102.04"/>
    <x v="2"/>
  </r>
  <r>
    <s v="ORD01133"/>
    <d v="2025-07-18T00:00:00"/>
    <x v="5"/>
    <x v="2"/>
    <x v="3"/>
    <n v="171"/>
    <n v="24.94"/>
    <n v="4264.74"/>
    <n v="2930.12"/>
    <n v="1334.62"/>
    <x v="8"/>
  </r>
  <r>
    <s v="ORD01134"/>
    <d v="2025-04-18T00:00:00"/>
    <x v="2"/>
    <x v="1"/>
    <x v="1"/>
    <n v="260"/>
    <n v="39.479999999999997"/>
    <n v="10264.799999999999"/>
    <n v="7122.87"/>
    <n v="3141.93"/>
    <x v="7"/>
  </r>
  <r>
    <s v="ORD01135"/>
    <d v="2025-01-01T00:00:00"/>
    <x v="2"/>
    <x v="2"/>
    <x v="1"/>
    <n v="142"/>
    <n v="18.760000000000002"/>
    <n v="2663.92"/>
    <n v="1965.06"/>
    <n v="698.86"/>
    <x v="10"/>
  </r>
  <r>
    <s v="ORD01136"/>
    <d v="2025-11-16T00:00:00"/>
    <x v="2"/>
    <x v="2"/>
    <x v="2"/>
    <n v="115"/>
    <n v="18.55"/>
    <n v="2133.25"/>
    <n v="1489.75"/>
    <n v="643.5"/>
    <x v="3"/>
  </r>
  <r>
    <s v="ORD01137"/>
    <d v="2025-06-09T00:00:00"/>
    <x v="4"/>
    <x v="2"/>
    <x v="2"/>
    <n v="213"/>
    <n v="20.29"/>
    <n v="4321.7700000000004"/>
    <n v="2675.98"/>
    <n v="1645.79"/>
    <x v="0"/>
  </r>
  <r>
    <s v="ORD01138"/>
    <d v="2025-10-23T00:00:00"/>
    <x v="1"/>
    <x v="1"/>
    <x v="3"/>
    <n v="85"/>
    <n v="15.19"/>
    <n v="1291.1500000000001"/>
    <n v="963.63"/>
    <n v="327.52"/>
    <x v="1"/>
  </r>
  <r>
    <s v="ORD01139"/>
    <d v="2025-03-17T00:00:00"/>
    <x v="3"/>
    <x v="1"/>
    <x v="5"/>
    <n v="59"/>
    <n v="19.100000000000001"/>
    <n v="1126.9000000000001"/>
    <n v="847.45"/>
    <n v="279.45"/>
    <x v="4"/>
  </r>
  <r>
    <s v="ORD01140"/>
    <d v="2025-08-21T00:00:00"/>
    <x v="0"/>
    <x v="1"/>
    <x v="0"/>
    <n v="155"/>
    <n v="32.950000000000003"/>
    <n v="5107.25"/>
    <n v="3757.55"/>
    <n v="1349.7"/>
    <x v="6"/>
  </r>
  <r>
    <s v="ORD01141"/>
    <d v="2025-12-04T00:00:00"/>
    <x v="2"/>
    <x v="1"/>
    <x v="0"/>
    <n v="16"/>
    <n v="16.670000000000002"/>
    <n v="266.72000000000003"/>
    <n v="172.27"/>
    <n v="94.45"/>
    <x v="5"/>
  </r>
  <r>
    <s v="ORD01142"/>
    <d v="2025-06-25T00:00:00"/>
    <x v="4"/>
    <x v="0"/>
    <x v="3"/>
    <n v="22"/>
    <n v="31.89"/>
    <n v="701.58"/>
    <n v="511.75"/>
    <n v="189.83"/>
    <x v="0"/>
  </r>
  <r>
    <s v="ORD01143"/>
    <d v="2025-05-20T00:00:00"/>
    <x v="4"/>
    <x v="1"/>
    <x v="4"/>
    <n v="80"/>
    <n v="16.36"/>
    <n v="1308.8"/>
    <n v="815.83"/>
    <n v="492.97"/>
    <x v="11"/>
  </r>
  <r>
    <s v="ORD01144"/>
    <d v="2025-09-18T00:00:00"/>
    <x v="3"/>
    <x v="1"/>
    <x v="0"/>
    <n v="102"/>
    <n v="22.82"/>
    <n v="2327.64"/>
    <n v="1436.95"/>
    <n v="890.69"/>
    <x v="9"/>
  </r>
  <r>
    <s v="ORD01145"/>
    <d v="2025-07-07T00:00:00"/>
    <x v="1"/>
    <x v="1"/>
    <x v="1"/>
    <n v="279"/>
    <n v="25.52"/>
    <n v="7120.08"/>
    <n v="5441.26"/>
    <n v="1678.82"/>
    <x v="8"/>
  </r>
  <r>
    <s v="ORD01146"/>
    <d v="2025-11-15T00:00:00"/>
    <x v="4"/>
    <x v="0"/>
    <x v="2"/>
    <n v="144"/>
    <n v="26.85"/>
    <n v="3866.4"/>
    <n v="2687.58"/>
    <n v="1178.82"/>
    <x v="3"/>
  </r>
  <r>
    <s v="ORD01147"/>
    <d v="2025-05-13T00:00:00"/>
    <x v="2"/>
    <x v="0"/>
    <x v="2"/>
    <n v="60"/>
    <n v="17.07"/>
    <n v="1024.2"/>
    <n v="665.26"/>
    <n v="358.94"/>
    <x v="11"/>
  </r>
  <r>
    <s v="ORD01148"/>
    <d v="2025-12-25T00:00:00"/>
    <x v="3"/>
    <x v="1"/>
    <x v="1"/>
    <n v="278"/>
    <n v="17.149999999999999"/>
    <n v="4767.7"/>
    <n v="3371.34"/>
    <n v="1396.36"/>
    <x v="5"/>
  </r>
  <r>
    <s v="ORD01149"/>
    <d v="2025-07-11T00:00:00"/>
    <x v="3"/>
    <x v="2"/>
    <x v="1"/>
    <n v="39"/>
    <n v="15.77"/>
    <n v="615.03"/>
    <n v="446.08"/>
    <n v="168.95"/>
    <x v="8"/>
  </r>
  <r>
    <s v="ORD01150"/>
    <d v="2025-04-07T00:00:00"/>
    <x v="4"/>
    <x v="1"/>
    <x v="4"/>
    <n v="33"/>
    <n v="31.33"/>
    <n v="1033.8900000000001"/>
    <n v="628.85"/>
    <n v="405.04"/>
    <x v="7"/>
  </r>
  <r>
    <s v="ORD01151"/>
    <d v="2025-09-06T00:00:00"/>
    <x v="5"/>
    <x v="0"/>
    <x v="3"/>
    <n v="86"/>
    <n v="25.39"/>
    <n v="2183.54"/>
    <n v="1697.9"/>
    <n v="485.64"/>
    <x v="9"/>
  </r>
  <r>
    <s v="ORD01152"/>
    <d v="2025-11-15T00:00:00"/>
    <x v="2"/>
    <x v="2"/>
    <x v="0"/>
    <n v="86"/>
    <n v="35.83"/>
    <n v="3081.38"/>
    <n v="1926.83"/>
    <n v="1154.55"/>
    <x v="3"/>
  </r>
  <r>
    <s v="ORD01153"/>
    <d v="2025-08-29T00:00:00"/>
    <x v="3"/>
    <x v="0"/>
    <x v="0"/>
    <n v="50"/>
    <n v="37.96"/>
    <n v="1898"/>
    <n v="1267.08"/>
    <n v="630.91999999999996"/>
    <x v="6"/>
  </r>
  <r>
    <s v="ORD01154"/>
    <d v="2025-01-11T00:00:00"/>
    <x v="0"/>
    <x v="2"/>
    <x v="4"/>
    <n v="261"/>
    <n v="36.729999999999997"/>
    <n v="9586.5300000000007"/>
    <n v="6135.93"/>
    <n v="3450.6"/>
    <x v="10"/>
  </r>
  <r>
    <s v="ORD01155"/>
    <d v="2025-12-19T00:00:00"/>
    <x v="0"/>
    <x v="0"/>
    <x v="0"/>
    <n v="245"/>
    <n v="33.229999999999997"/>
    <n v="8141.35"/>
    <n v="6104.97"/>
    <n v="2036.38"/>
    <x v="5"/>
  </r>
  <r>
    <s v="ORD01156"/>
    <d v="2025-03-18T00:00:00"/>
    <x v="5"/>
    <x v="1"/>
    <x v="0"/>
    <n v="62"/>
    <n v="15.71"/>
    <n v="974.02"/>
    <n v="693.25"/>
    <n v="280.77"/>
    <x v="4"/>
  </r>
  <r>
    <s v="ORD01157"/>
    <d v="2025-12-17T00:00:00"/>
    <x v="1"/>
    <x v="1"/>
    <x v="5"/>
    <n v="50"/>
    <n v="22.32"/>
    <n v="1116"/>
    <n v="837.17"/>
    <n v="278.83"/>
    <x v="5"/>
  </r>
  <r>
    <s v="ORD01158"/>
    <d v="2025-07-16T00:00:00"/>
    <x v="4"/>
    <x v="2"/>
    <x v="4"/>
    <n v="246"/>
    <n v="24.15"/>
    <n v="5940.9"/>
    <n v="4529.76"/>
    <n v="1411.14"/>
    <x v="8"/>
  </r>
  <r>
    <s v="ORD01159"/>
    <d v="2025-04-07T00:00:00"/>
    <x v="4"/>
    <x v="2"/>
    <x v="3"/>
    <n v="260"/>
    <n v="15.33"/>
    <n v="3985.8"/>
    <n v="2554.3000000000002"/>
    <n v="1431.5"/>
    <x v="7"/>
  </r>
  <r>
    <s v="ORD01160"/>
    <d v="2025-08-06T00:00:00"/>
    <x v="5"/>
    <x v="0"/>
    <x v="3"/>
    <n v="106"/>
    <n v="39.229999999999997"/>
    <n v="4158.38"/>
    <n v="3282.42"/>
    <n v="875.96"/>
    <x v="6"/>
  </r>
  <r>
    <s v="ORD01161"/>
    <d v="2025-12-27T00:00:00"/>
    <x v="3"/>
    <x v="1"/>
    <x v="3"/>
    <n v="32"/>
    <n v="28.18"/>
    <n v="901.76"/>
    <n v="543.9"/>
    <n v="357.86"/>
    <x v="5"/>
  </r>
  <r>
    <s v="ORD01162"/>
    <d v="2025-12-05T00:00:00"/>
    <x v="0"/>
    <x v="1"/>
    <x v="3"/>
    <n v="139"/>
    <n v="18.260000000000002"/>
    <n v="2538.14"/>
    <n v="1537.72"/>
    <n v="1000.42"/>
    <x v="5"/>
  </r>
  <r>
    <s v="ORD01163"/>
    <d v="2025-01-22T00:00:00"/>
    <x v="5"/>
    <x v="0"/>
    <x v="2"/>
    <n v="148"/>
    <n v="14.1"/>
    <n v="2086.8000000000002"/>
    <n v="1667.28"/>
    <n v="419.52"/>
    <x v="10"/>
  </r>
  <r>
    <s v="ORD01164"/>
    <d v="2025-03-17T00:00:00"/>
    <x v="0"/>
    <x v="1"/>
    <x v="2"/>
    <n v="24"/>
    <n v="36.93"/>
    <n v="886.32"/>
    <n v="649.64"/>
    <n v="236.68"/>
    <x v="4"/>
  </r>
  <r>
    <s v="ORD01165"/>
    <d v="2025-09-07T00:00:00"/>
    <x v="3"/>
    <x v="1"/>
    <x v="5"/>
    <n v="221"/>
    <n v="20.86"/>
    <n v="4610.0600000000004"/>
    <n v="3593.98"/>
    <n v="1016.08"/>
    <x v="9"/>
  </r>
  <r>
    <s v="ORD01166"/>
    <d v="2025-01-30T00:00:00"/>
    <x v="0"/>
    <x v="2"/>
    <x v="4"/>
    <n v="269"/>
    <n v="39.93"/>
    <n v="10741.17"/>
    <n v="6668.94"/>
    <n v="4072.23"/>
    <x v="10"/>
  </r>
  <r>
    <s v="ORD01167"/>
    <d v="2025-07-27T00:00:00"/>
    <x v="2"/>
    <x v="2"/>
    <x v="1"/>
    <n v="79"/>
    <n v="24.79"/>
    <n v="1958.41"/>
    <n v="1367.46"/>
    <n v="590.95000000000005"/>
    <x v="8"/>
  </r>
  <r>
    <s v="ORD01168"/>
    <d v="2025-03-09T00:00:00"/>
    <x v="4"/>
    <x v="0"/>
    <x v="2"/>
    <n v="267"/>
    <n v="36.28"/>
    <n v="9686.76"/>
    <n v="6625.64"/>
    <n v="3061.12"/>
    <x v="4"/>
  </r>
  <r>
    <s v="ORD01169"/>
    <d v="2025-03-01T00:00:00"/>
    <x v="1"/>
    <x v="2"/>
    <x v="3"/>
    <n v="245"/>
    <n v="37.82"/>
    <n v="9265.9"/>
    <n v="6234.01"/>
    <n v="3031.89"/>
    <x v="4"/>
  </r>
  <r>
    <s v="ORD01170"/>
    <d v="2025-09-20T00:00:00"/>
    <x v="1"/>
    <x v="0"/>
    <x v="0"/>
    <n v="103"/>
    <n v="39.67"/>
    <n v="4086.01"/>
    <n v="2627.47"/>
    <n v="1458.54"/>
    <x v="9"/>
  </r>
  <r>
    <s v="ORD01171"/>
    <d v="2025-04-29T00:00:00"/>
    <x v="2"/>
    <x v="0"/>
    <x v="4"/>
    <n v="170"/>
    <n v="16.86"/>
    <n v="2866.2"/>
    <n v="1746.71"/>
    <n v="1119.49"/>
    <x v="7"/>
  </r>
  <r>
    <s v="ORD01172"/>
    <d v="2025-09-02T00:00:00"/>
    <x v="5"/>
    <x v="0"/>
    <x v="1"/>
    <n v="257"/>
    <n v="36.090000000000003"/>
    <n v="9275.1299999999992"/>
    <n v="6782.57"/>
    <n v="2492.56"/>
    <x v="9"/>
  </r>
  <r>
    <s v="ORD01173"/>
    <d v="2025-06-04T00:00:00"/>
    <x v="3"/>
    <x v="1"/>
    <x v="2"/>
    <n v="115"/>
    <n v="14.3"/>
    <n v="1644.5"/>
    <n v="1210.79"/>
    <n v="433.71"/>
    <x v="0"/>
  </r>
  <r>
    <s v="ORD01174"/>
    <d v="2025-01-22T00:00:00"/>
    <x v="4"/>
    <x v="0"/>
    <x v="5"/>
    <n v="186"/>
    <n v="26.67"/>
    <n v="4960.62"/>
    <n v="3183.7"/>
    <n v="1776.92"/>
    <x v="10"/>
  </r>
  <r>
    <s v="ORD01175"/>
    <d v="2025-04-18T00:00:00"/>
    <x v="5"/>
    <x v="1"/>
    <x v="5"/>
    <n v="235"/>
    <n v="13.2"/>
    <n v="3102"/>
    <n v="2310.19"/>
    <n v="791.81"/>
    <x v="7"/>
  </r>
  <r>
    <s v="ORD01176"/>
    <d v="2025-09-24T00:00:00"/>
    <x v="5"/>
    <x v="2"/>
    <x v="4"/>
    <n v="274"/>
    <n v="27.36"/>
    <n v="7496.64"/>
    <n v="4720.38"/>
    <n v="2776.26"/>
    <x v="9"/>
  </r>
  <r>
    <s v="ORD01177"/>
    <d v="2025-12-02T00:00:00"/>
    <x v="3"/>
    <x v="2"/>
    <x v="4"/>
    <n v="147"/>
    <n v="27.66"/>
    <n v="4066.02"/>
    <n v="2841.26"/>
    <n v="1224.76"/>
    <x v="5"/>
  </r>
  <r>
    <s v="ORD01178"/>
    <d v="2025-03-08T00:00:00"/>
    <x v="3"/>
    <x v="0"/>
    <x v="3"/>
    <n v="178"/>
    <n v="22.78"/>
    <n v="4054.84"/>
    <n v="2774.59"/>
    <n v="1280.25"/>
    <x v="4"/>
  </r>
  <r>
    <s v="ORD01179"/>
    <d v="2025-09-23T00:00:00"/>
    <x v="4"/>
    <x v="1"/>
    <x v="0"/>
    <n v="195"/>
    <n v="25.52"/>
    <n v="4976.3999999999996"/>
    <n v="3132.55"/>
    <n v="1843.85"/>
    <x v="9"/>
  </r>
  <r>
    <s v="ORD01180"/>
    <d v="2025-11-08T00:00:00"/>
    <x v="1"/>
    <x v="1"/>
    <x v="1"/>
    <n v="56"/>
    <n v="23.22"/>
    <n v="1300.32"/>
    <n v="864.29"/>
    <n v="436.03"/>
    <x v="3"/>
  </r>
  <r>
    <s v="ORD01181"/>
    <d v="2025-08-18T00:00:00"/>
    <x v="2"/>
    <x v="2"/>
    <x v="4"/>
    <n v="99"/>
    <n v="27.75"/>
    <n v="2747.25"/>
    <n v="1850"/>
    <n v="897.25"/>
    <x v="6"/>
  </r>
  <r>
    <s v="ORD01182"/>
    <d v="2025-03-19T00:00:00"/>
    <x v="3"/>
    <x v="2"/>
    <x v="0"/>
    <n v="36"/>
    <n v="38.17"/>
    <n v="1374.12"/>
    <n v="903.05"/>
    <n v="471.07"/>
    <x v="4"/>
  </r>
  <r>
    <s v="ORD01183"/>
    <d v="2025-01-30T00:00:00"/>
    <x v="4"/>
    <x v="2"/>
    <x v="1"/>
    <n v="130"/>
    <n v="35.090000000000003"/>
    <n v="4561.7"/>
    <n v="2956.95"/>
    <n v="1604.75"/>
    <x v="10"/>
  </r>
  <r>
    <s v="ORD01184"/>
    <d v="2025-08-16T00:00:00"/>
    <x v="4"/>
    <x v="0"/>
    <x v="0"/>
    <n v="208"/>
    <n v="13.5"/>
    <n v="2808"/>
    <n v="1789.37"/>
    <n v="1018.63"/>
    <x v="6"/>
  </r>
  <r>
    <s v="ORD01185"/>
    <d v="2025-10-31T00:00:00"/>
    <x v="3"/>
    <x v="2"/>
    <x v="2"/>
    <n v="245"/>
    <n v="37.450000000000003"/>
    <n v="9175.25"/>
    <n v="7281.69"/>
    <n v="1893.56"/>
    <x v="1"/>
  </r>
  <r>
    <s v="ORD01186"/>
    <d v="2025-02-05T00:00:00"/>
    <x v="0"/>
    <x v="0"/>
    <x v="4"/>
    <n v="237"/>
    <n v="29.97"/>
    <n v="7102.89"/>
    <n v="4934.3599999999997"/>
    <n v="2168.5300000000002"/>
    <x v="2"/>
  </r>
  <r>
    <s v="ORD01187"/>
    <d v="2025-12-23T00:00:00"/>
    <x v="5"/>
    <x v="2"/>
    <x v="4"/>
    <n v="14"/>
    <n v="22.63"/>
    <n v="316.82"/>
    <n v="205.91"/>
    <n v="110.91"/>
    <x v="5"/>
  </r>
  <r>
    <s v="ORD01188"/>
    <d v="2025-10-28T00:00:00"/>
    <x v="4"/>
    <x v="0"/>
    <x v="1"/>
    <n v="127"/>
    <n v="23.19"/>
    <n v="2945.13"/>
    <n v="1895.11"/>
    <n v="1050.02"/>
    <x v="1"/>
  </r>
  <r>
    <s v="ORD01189"/>
    <d v="2025-11-10T00:00:00"/>
    <x v="5"/>
    <x v="0"/>
    <x v="0"/>
    <n v="103"/>
    <n v="31.84"/>
    <n v="3279.52"/>
    <n v="2307.41"/>
    <n v="972.11"/>
    <x v="3"/>
  </r>
  <r>
    <s v="ORD01190"/>
    <d v="2025-11-07T00:00:00"/>
    <x v="0"/>
    <x v="0"/>
    <x v="5"/>
    <n v="19"/>
    <n v="13.32"/>
    <n v="253.08"/>
    <n v="172.62"/>
    <n v="80.459999999999994"/>
    <x v="3"/>
  </r>
  <r>
    <s v="ORD01191"/>
    <d v="2025-09-14T00:00:00"/>
    <x v="4"/>
    <x v="2"/>
    <x v="2"/>
    <n v="185"/>
    <n v="35.29"/>
    <n v="6528.65"/>
    <n v="4502.07"/>
    <n v="2026.58"/>
    <x v="9"/>
  </r>
  <r>
    <s v="ORD01192"/>
    <d v="2025-03-29T00:00:00"/>
    <x v="0"/>
    <x v="1"/>
    <x v="0"/>
    <n v="166"/>
    <n v="26.07"/>
    <n v="4327.62"/>
    <n v="2725.4"/>
    <n v="1602.22"/>
    <x v="4"/>
  </r>
  <r>
    <s v="ORD01193"/>
    <d v="2025-10-27T00:00:00"/>
    <x v="4"/>
    <x v="1"/>
    <x v="5"/>
    <n v="151"/>
    <n v="23.4"/>
    <n v="3533.4"/>
    <n v="2632.93"/>
    <n v="900.47"/>
    <x v="1"/>
  </r>
  <r>
    <s v="ORD01194"/>
    <d v="2025-08-13T00:00:00"/>
    <x v="2"/>
    <x v="1"/>
    <x v="2"/>
    <n v="118"/>
    <n v="37.24"/>
    <n v="4394.32"/>
    <n v="2781.97"/>
    <n v="1612.35"/>
    <x v="6"/>
  </r>
  <r>
    <s v="ORD01195"/>
    <d v="2025-04-20T00:00:00"/>
    <x v="4"/>
    <x v="1"/>
    <x v="1"/>
    <n v="180"/>
    <n v="15.2"/>
    <n v="2736"/>
    <n v="2089.5500000000002"/>
    <n v="646.45000000000005"/>
    <x v="7"/>
  </r>
  <r>
    <s v="ORD01196"/>
    <d v="2025-07-22T00:00:00"/>
    <x v="3"/>
    <x v="2"/>
    <x v="0"/>
    <n v="89"/>
    <n v="33.229999999999997"/>
    <n v="2957.47"/>
    <n v="2308.71"/>
    <n v="648.76"/>
    <x v="8"/>
  </r>
  <r>
    <s v="ORD01197"/>
    <d v="2025-04-01T00:00:00"/>
    <x v="4"/>
    <x v="0"/>
    <x v="2"/>
    <n v="278"/>
    <n v="20.010000000000002"/>
    <n v="5562.78"/>
    <n v="3567.83"/>
    <n v="1994.95"/>
    <x v="7"/>
  </r>
  <r>
    <s v="ORD01198"/>
    <d v="2025-07-04T00:00:00"/>
    <x v="2"/>
    <x v="0"/>
    <x v="5"/>
    <n v="245"/>
    <n v="25.39"/>
    <n v="6220.55"/>
    <n v="4475.38"/>
    <n v="1745.17"/>
    <x v="8"/>
  </r>
  <r>
    <s v="ORD01199"/>
    <d v="2025-06-22T00:00:00"/>
    <x v="5"/>
    <x v="1"/>
    <x v="2"/>
    <n v="288"/>
    <n v="17.96"/>
    <n v="5172.4799999999996"/>
    <n v="3800.39"/>
    <n v="1372.09"/>
    <x v="0"/>
  </r>
  <r>
    <s v="ORD01200"/>
    <d v="2025-02-05T00:00:00"/>
    <x v="4"/>
    <x v="2"/>
    <x v="1"/>
    <n v="143"/>
    <n v="12.74"/>
    <n v="1821.82"/>
    <n v="1132.8399999999999"/>
    <n v="688.98"/>
    <x v="2"/>
  </r>
  <r>
    <s v="ORD01201"/>
    <d v="2025-06-17T00:00:00"/>
    <x v="4"/>
    <x v="2"/>
    <x v="5"/>
    <n v="137"/>
    <n v="39.57"/>
    <n v="5421.09"/>
    <n v="4146.87"/>
    <n v="1274.22"/>
    <x v="0"/>
  </r>
  <r>
    <s v="ORD01202"/>
    <d v="2025-01-28T00:00:00"/>
    <x v="1"/>
    <x v="0"/>
    <x v="2"/>
    <n v="299"/>
    <n v="29.62"/>
    <n v="8856.3799999999992"/>
    <n v="5514.9"/>
    <n v="3341.48"/>
    <x v="10"/>
  </r>
  <r>
    <s v="ORD01203"/>
    <d v="2025-10-17T00:00:00"/>
    <x v="5"/>
    <x v="2"/>
    <x v="1"/>
    <n v="142"/>
    <n v="35.97"/>
    <n v="5107.74"/>
    <n v="3144.46"/>
    <n v="1963.28"/>
    <x v="1"/>
  </r>
  <r>
    <s v="ORD01204"/>
    <d v="2025-04-09T00:00:00"/>
    <x v="4"/>
    <x v="1"/>
    <x v="4"/>
    <n v="133"/>
    <n v="24.66"/>
    <n v="3279.78"/>
    <n v="2324.89"/>
    <n v="954.89"/>
    <x v="7"/>
  </r>
  <r>
    <s v="ORD01205"/>
    <d v="2025-06-06T00:00:00"/>
    <x v="3"/>
    <x v="2"/>
    <x v="0"/>
    <n v="141"/>
    <n v="39.729999999999997"/>
    <n v="5601.93"/>
    <n v="4220.51"/>
    <n v="1381.42"/>
    <x v="0"/>
  </r>
  <r>
    <s v="ORD01206"/>
    <d v="2025-10-11T00:00:00"/>
    <x v="0"/>
    <x v="2"/>
    <x v="5"/>
    <n v="162"/>
    <n v="31.28"/>
    <n v="5067.3599999999997"/>
    <n v="3796.92"/>
    <n v="1270.44"/>
    <x v="1"/>
  </r>
  <r>
    <s v="ORD01207"/>
    <d v="2025-12-16T00:00:00"/>
    <x v="1"/>
    <x v="0"/>
    <x v="4"/>
    <n v="175"/>
    <n v="18.46"/>
    <n v="3230.5"/>
    <n v="2114.34"/>
    <n v="1116.1600000000001"/>
    <x v="5"/>
  </r>
  <r>
    <s v="ORD01208"/>
    <d v="2025-02-13T00:00:00"/>
    <x v="3"/>
    <x v="1"/>
    <x v="0"/>
    <n v="205"/>
    <n v="20.5"/>
    <n v="4202.5"/>
    <n v="2678.43"/>
    <n v="1524.07"/>
    <x v="2"/>
  </r>
  <r>
    <s v="ORD01209"/>
    <d v="2025-05-07T00:00:00"/>
    <x v="0"/>
    <x v="2"/>
    <x v="0"/>
    <n v="94"/>
    <n v="35.97"/>
    <n v="3381.18"/>
    <n v="2678.37"/>
    <n v="702.81"/>
    <x v="11"/>
  </r>
  <r>
    <s v="ORD01210"/>
    <d v="2025-04-02T00:00:00"/>
    <x v="4"/>
    <x v="2"/>
    <x v="3"/>
    <n v="66"/>
    <n v="26.58"/>
    <n v="1754.28"/>
    <n v="1063.33"/>
    <n v="690.95"/>
    <x v="7"/>
  </r>
  <r>
    <s v="ORD01211"/>
    <d v="2025-09-01T00:00:00"/>
    <x v="0"/>
    <x v="1"/>
    <x v="2"/>
    <n v="79"/>
    <n v="26.61"/>
    <n v="2102.19"/>
    <n v="1566.97"/>
    <n v="535.22"/>
    <x v="9"/>
  </r>
  <r>
    <s v="ORD01212"/>
    <d v="2025-01-22T00:00:00"/>
    <x v="4"/>
    <x v="0"/>
    <x v="4"/>
    <n v="200"/>
    <n v="34.93"/>
    <n v="6986"/>
    <n v="4217.3999999999996"/>
    <n v="2768.6"/>
    <x v="10"/>
  </r>
  <r>
    <s v="ORD01213"/>
    <d v="2025-11-05T00:00:00"/>
    <x v="4"/>
    <x v="2"/>
    <x v="4"/>
    <n v="40"/>
    <n v="33.46"/>
    <n v="1338.4"/>
    <n v="837.52"/>
    <n v="500.88"/>
    <x v="3"/>
  </r>
  <r>
    <s v="ORD01214"/>
    <d v="2025-09-17T00:00:00"/>
    <x v="2"/>
    <x v="2"/>
    <x v="5"/>
    <n v="90"/>
    <n v="33.82"/>
    <n v="3043.8"/>
    <n v="2074.9899999999998"/>
    <n v="968.81"/>
    <x v="9"/>
  </r>
  <r>
    <s v="ORD01215"/>
    <d v="2025-06-01T00:00:00"/>
    <x v="3"/>
    <x v="1"/>
    <x v="2"/>
    <n v="173"/>
    <n v="15.27"/>
    <n v="2641.71"/>
    <n v="1822.29"/>
    <n v="819.42"/>
    <x v="0"/>
  </r>
  <r>
    <s v="ORD01216"/>
    <d v="2025-03-06T00:00:00"/>
    <x v="0"/>
    <x v="0"/>
    <x v="1"/>
    <n v="165"/>
    <n v="21.55"/>
    <n v="3555.75"/>
    <n v="2525.59"/>
    <n v="1030.1600000000001"/>
    <x v="4"/>
  </r>
  <r>
    <s v="ORD01217"/>
    <d v="2025-07-09T00:00:00"/>
    <x v="3"/>
    <x v="2"/>
    <x v="4"/>
    <n v="54"/>
    <n v="25.88"/>
    <n v="1397.52"/>
    <n v="1007.91"/>
    <n v="389.61"/>
    <x v="8"/>
  </r>
  <r>
    <s v="ORD01218"/>
    <d v="2025-10-02T00:00:00"/>
    <x v="1"/>
    <x v="2"/>
    <x v="0"/>
    <n v="293"/>
    <n v="33.630000000000003"/>
    <n v="9853.59"/>
    <n v="7040.44"/>
    <n v="2813.15"/>
    <x v="1"/>
  </r>
  <r>
    <s v="ORD01219"/>
    <d v="2025-11-09T00:00:00"/>
    <x v="3"/>
    <x v="0"/>
    <x v="3"/>
    <n v="59"/>
    <n v="14.56"/>
    <n v="859.04"/>
    <n v="571.83000000000004"/>
    <n v="287.20999999999998"/>
    <x v="3"/>
  </r>
  <r>
    <s v="ORD01220"/>
    <d v="2025-02-20T00:00:00"/>
    <x v="3"/>
    <x v="1"/>
    <x v="0"/>
    <n v="61"/>
    <n v="15.4"/>
    <n v="939.4"/>
    <n v="739.7"/>
    <n v="199.7"/>
    <x v="2"/>
  </r>
  <r>
    <s v="ORD01221"/>
    <d v="2025-01-29T00:00:00"/>
    <x v="1"/>
    <x v="1"/>
    <x v="0"/>
    <n v="84"/>
    <n v="32.450000000000003"/>
    <n v="2725.8"/>
    <n v="1784.55"/>
    <n v="941.25"/>
    <x v="10"/>
  </r>
  <r>
    <s v="ORD01222"/>
    <d v="2025-06-25T00:00:00"/>
    <x v="5"/>
    <x v="0"/>
    <x v="0"/>
    <n v="88"/>
    <n v="37.72"/>
    <n v="3319.36"/>
    <n v="2294.91"/>
    <n v="1024.45"/>
    <x v="0"/>
  </r>
  <r>
    <s v="ORD01223"/>
    <d v="2025-06-05T00:00:00"/>
    <x v="4"/>
    <x v="0"/>
    <x v="0"/>
    <n v="174"/>
    <n v="31.27"/>
    <n v="5440.98"/>
    <n v="3374.8"/>
    <n v="2066.1799999999998"/>
    <x v="0"/>
  </r>
  <r>
    <s v="ORD01224"/>
    <d v="2025-12-31T00:00:00"/>
    <x v="0"/>
    <x v="2"/>
    <x v="3"/>
    <n v="281"/>
    <n v="22.11"/>
    <n v="6212.91"/>
    <n v="4798.1899999999996"/>
    <n v="1414.72"/>
    <x v="5"/>
  </r>
  <r>
    <s v="ORD01225"/>
    <d v="2025-07-05T00:00:00"/>
    <x v="4"/>
    <x v="2"/>
    <x v="4"/>
    <n v="240"/>
    <n v="18.21"/>
    <n v="4370.3999999999996"/>
    <n v="3395.77"/>
    <n v="974.63"/>
    <x v="8"/>
  </r>
  <r>
    <s v="ORD01226"/>
    <d v="2025-12-22T00:00:00"/>
    <x v="1"/>
    <x v="2"/>
    <x v="0"/>
    <n v="109"/>
    <n v="29.71"/>
    <n v="3238.39"/>
    <n v="2221.91"/>
    <n v="1016.48"/>
    <x v="5"/>
  </r>
  <r>
    <s v="ORD01227"/>
    <d v="2025-10-11T00:00:00"/>
    <x v="0"/>
    <x v="0"/>
    <x v="2"/>
    <n v="286"/>
    <n v="15.42"/>
    <n v="4410.12"/>
    <n v="3451.82"/>
    <n v="958.3"/>
    <x v="1"/>
  </r>
  <r>
    <s v="ORD01228"/>
    <d v="2025-05-08T00:00:00"/>
    <x v="3"/>
    <x v="2"/>
    <x v="3"/>
    <n v="62"/>
    <n v="30.4"/>
    <n v="1884.8"/>
    <n v="1490.38"/>
    <n v="394.42"/>
    <x v="11"/>
  </r>
  <r>
    <s v="ORD01229"/>
    <d v="2025-12-21T00:00:00"/>
    <x v="1"/>
    <x v="2"/>
    <x v="2"/>
    <n v="10"/>
    <n v="37.92"/>
    <n v="379.2"/>
    <n v="231.44"/>
    <n v="147.76"/>
    <x v="5"/>
  </r>
  <r>
    <s v="ORD01230"/>
    <d v="2025-03-20T00:00:00"/>
    <x v="2"/>
    <x v="2"/>
    <x v="5"/>
    <n v="203"/>
    <n v="25.94"/>
    <n v="5265.82"/>
    <n v="3970.8"/>
    <n v="1295.02"/>
    <x v="4"/>
  </r>
  <r>
    <s v="ORD01231"/>
    <d v="2025-10-22T00:00:00"/>
    <x v="1"/>
    <x v="0"/>
    <x v="5"/>
    <n v="213"/>
    <n v="39.049999999999997"/>
    <n v="8317.65"/>
    <n v="6336.2"/>
    <n v="1981.45"/>
    <x v="1"/>
  </r>
  <r>
    <s v="ORD01232"/>
    <d v="2025-06-11T00:00:00"/>
    <x v="1"/>
    <x v="1"/>
    <x v="1"/>
    <n v="165"/>
    <n v="26.77"/>
    <n v="4417.05"/>
    <n v="3342.45"/>
    <n v="1074.5999999999999"/>
    <x v="0"/>
  </r>
  <r>
    <s v="ORD01233"/>
    <d v="2025-03-06T00:00:00"/>
    <x v="5"/>
    <x v="2"/>
    <x v="0"/>
    <n v="240"/>
    <n v="13.88"/>
    <n v="3331.2"/>
    <n v="2398.14"/>
    <n v="933.06"/>
    <x v="4"/>
  </r>
  <r>
    <s v="ORD01234"/>
    <d v="2025-11-30T00:00:00"/>
    <x v="5"/>
    <x v="1"/>
    <x v="3"/>
    <n v="13"/>
    <n v="31.36"/>
    <n v="407.68"/>
    <n v="323.70999999999998"/>
    <n v="83.97"/>
    <x v="3"/>
  </r>
  <r>
    <s v="ORD01235"/>
    <d v="2025-10-09T00:00:00"/>
    <x v="3"/>
    <x v="1"/>
    <x v="3"/>
    <n v="86"/>
    <n v="10.27"/>
    <n v="883.22"/>
    <n v="614.38"/>
    <n v="268.83999999999997"/>
    <x v="1"/>
  </r>
  <r>
    <s v="ORD01236"/>
    <d v="2025-01-15T00:00:00"/>
    <x v="1"/>
    <x v="0"/>
    <x v="3"/>
    <n v="262"/>
    <n v="11.36"/>
    <n v="2976.32"/>
    <n v="1859.1"/>
    <n v="1117.22"/>
    <x v="10"/>
  </r>
  <r>
    <s v="ORD01237"/>
    <d v="2025-07-24T00:00:00"/>
    <x v="5"/>
    <x v="0"/>
    <x v="1"/>
    <n v="174"/>
    <n v="16.98"/>
    <n v="2954.52"/>
    <n v="2159.69"/>
    <n v="794.83"/>
    <x v="8"/>
  </r>
  <r>
    <s v="ORD01238"/>
    <d v="2025-10-03T00:00:00"/>
    <x v="0"/>
    <x v="2"/>
    <x v="3"/>
    <n v="296"/>
    <n v="37.950000000000003"/>
    <n v="11233.2"/>
    <n v="8043.09"/>
    <n v="3190.11"/>
    <x v="1"/>
  </r>
  <r>
    <s v="ORD01239"/>
    <d v="2025-06-27T00:00:00"/>
    <x v="5"/>
    <x v="0"/>
    <x v="1"/>
    <n v="259"/>
    <n v="39.26"/>
    <n v="10168.34"/>
    <n v="8045.48"/>
    <n v="2122.86"/>
    <x v="0"/>
  </r>
  <r>
    <s v="ORD01240"/>
    <d v="2025-02-08T00:00:00"/>
    <x v="2"/>
    <x v="2"/>
    <x v="1"/>
    <n v="221"/>
    <n v="13.71"/>
    <n v="3029.91"/>
    <n v="2027.36"/>
    <n v="1002.55"/>
    <x v="2"/>
  </r>
  <r>
    <s v="ORD01241"/>
    <d v="2025-12-08T00:00:00"/>
    <x v="2"/>
    <x v="1"/>
    <x v="4"/>
    <n v="116"/>
    <n v="38.76"/>
    <n v="4496.16"/>
    <n v="2896.99"/>
    <n v="1599.17"/>
    <x v="5"/>
  </r>
  <r>
    <s v="ORD01242"/>
    <d v="2025-07-25T00:00:00"/>
    <x v="3"/>
    <x v="1"/>
    <x v="5"/>
    <n v="150"/>
    <n v="18.59"/>
    <n v="2788.5"/>
    <n v="1681.57"/>
    <n v="1106.93"/>
    <x v="8"/>
  </r>
  <r>
    <s v="ORD01243"/>
    <d v="2025-10-15T00:00:00"/>
    <x v="5"/>
    <x v="2"/>
    <x v="5"/>
    <n v="209"/>
    <n v="27.92"/>
    <n v="5835.28"/>
    <n v="3851.12"/>
    <n v="1984.16"/>
    <x v="1"/>
  </r>
  <r>
    <s v="ORD01244"/>
    <d v="2025-11-20T00:00:00"/>
    <x v="4"/>
    <x v="1"/>
    <x v="4"/>
    <n v="96"/>
    <n v="24.13"/>
    <n v="2316.48"/>
    <n v="1604.8"/>
    <n v="711.68"/>
    <x v="3"/>
  </r>
  <r>
    <s v="ORD01245"/>
    <d v="2025-02-19T00:00:00"/>
    <x v="5"/>
    <x v="2"/>
    <x v="4"/>
    <n v="248"/>
    <n v="38.42"/>
    <n v="9528.16"/>
    <n v="6331.84"/>
    <n v="3196.32"/>
    <x v="2"/>
  </r>
  <r>
    <s v="ORD01246"/>
    <d v="2025-09-08T00:00:00"/>
    <x v="0"/>
    <x v="2"/>
    <x v="4"/>
    <n v="99"/>
    <n v="16.93"/>
    <n v="1676.07"/>
    <n v="1129.4100000000001"/>
    <n v="546.66"/>
    <x v="9"/>
  </r>
  <r>
    <s v="ORD01247"/>
    <d v="2025-06-18T00:00:00"/>
    <x v="3"/>
    <x v="2"/>
    <x v="4"/>
    <n v="13"/>
    <n v="27.46"/>
    <n v="356.98"/>
    <n v="279.52"/>
    <n v="77.459999999999994"/>
    <x v="0"/>
  </r>
  <r>
    <s v="ORD01248"/>
    <d v="2025-06-23T00:00:00"/>
    <x v="4"/>
    <x v="0"/>
    <x v="2"/>
    <n v="179"/>
    <n v="37.26"/>
    <n v="6669.54"/>
    <n v="4440.92"/>
    <n v="2228.62"/>
    <x v="0"/>
  </r>
  <r>
    <s v="ORD01249"/>
    <d v="2025-01-12T00:00:00"/>
    <x v="4"/>
    <x v="0"/>
    <x v="3"/>
    <n v="42"/>
    <n v="23.85"/>
    <n v="1001.7"/>
    <n v="797.96"/>
    <n v="203.74"/>
    <x v="10"/>
  </r>
  <r>
    <s v="ORD01250"/>
    <d v="2025-02-23T00:00:00"/>
    <x v="0"/>
    <x v="1"/>
    <x v="0"/>
    <n v="11"/>
    <n v="21.2"/>
    <n v="233.2"/>
    <n v="186.5"/>
    <n v="46.7"/>
    <x v="2"/>
  </r>
  <r>
    <s v="ORD01251"/>
    <d v="2025-05-10T00:00:00"/>
    <x v="4"/>
    <x v="2"/>
    <x v="3"/>
    <n v="283"/>
    <n v="10.77"/>
    <n v="3047.91"/>
    <n v="2405.5300000000002"/>
    <n v="642.38"/>
    <x v="11"/>
  </r>
  <r>
    <s v="ORD01252"/>
    <d v="2025-11-25T00:00:00"/>
    <x v="5"/>
    <x v="1"/>
    <x v="3"/>
    <n v="194"/>
    <n v="12.19"/>
    <n v="2364.86"/>
    <n v="1681.79"/>
    <n v="683.07"/>
    <x v="3"/>
  </r>
  <r>
    <s v="ORD01253"/>
    <d v="2025-05-12T00:00:00"/>
    <x v="4"/>
    <x v="1"/>
    <x v="4"/>
    <n v="19"/>
    <n v="20.39"/>
    <n v="387.41"/>
    <n v="234.35"/>
    <n v="153.06"/>
    <x v="11"/>
  </r>
  <r>
    <s v="ORD01254"/>
    <d v="2025-07-08T00:00:00"/>
    <x v="5"/>
    <x v="2"/>
    <x v="5"/>
    <n v="35"/>
    <n v="27.45"/>
    <n v="960.75"/>
    <n v="621.91999999999996"/>
    <n v="338.83"/>
    <x v="8"/>
  </r>
  <r>
    <s v="ORD01255"/>
    <d v="2025-08-23T00:00:00"/>
    <x v="0"/>
    <x v="2"/>
    <x v="0"/>
    <n v="58"/>
    <n v="27.83"/>
    <n v="1614.14"/>
    <n v="1077.7"/>
    <n v="536.44000000000005"/>
    <x v="6"/>
  </r>
  <r>
    <s v="ORD01256"/>
    <d v="2025-06-28T00:00:00"/>
    <x v="3"/>
    <x v="1"/>
    <x v="2"/>
    <n v="60"/>
    <n v="14.31"/>
    <n v="858.6"/>
    <n v="528.54999999999995"/>
    <n v="330.05"/>
    <x v="0"/>
  </r>
  <r>
    <s v="ORD01257"/>
    <d v="2025-04-02T00:00:00"/>
    <x v="4"/>
    <x v="2"/>
    <x v="1"/>
    <n v="282"/>
    <n v="34.270000000000003"/>
    <n v="9664.14"/>
    <n v="7606.67"/>
    <n v="2057.4699999999998"/>
    <x v="7"/>
  </r>
  <r>
    <s v="ORD01258"/>
    <d v="2025-12-09T00:00:00"/>
    <x v="2"/>
    <x v="0"/>
    <x v="4"/>
    <n v="138"/>
    <n v="22.27"/>
    <n v="3073.26"/>
    <n v="2187.4899999999998"/>
    <n v="885.77"/>
    <x v="5"/>
  </r>
  <r>
    <s v="ORD01259"/>
    <d v="2025-10-05T00:00:00"/>
    <x v="3"/>
    <x v="1"/>
    <x v="2"/>
    <n v="284"/>
    <n v="35.71"/>
    <n v="10141.64"/>
    <n v="6201.48"/>
    <n v="3940.16"/>
    <x v="1"/>
  </r>
  <r>
    <s v="ORD01260"/>
    <d v="2025-07-29T00:00:00"/>
    <x v="2"/>
    <x v="0"/>
    <x v="5"/>
    <n v="220"/>
    <n v="35.4"/>
    <n v="7788"/>
    <n v="5133.6899999999996"/>
    <n v="2654.31"/>
    <x v="8"/>
  </r>
  <r>
    <s v="ORD01261"/>
    <d v="2025-02-17T00:00:00"/>
    <x v="0"/>
    <x v="2"/>
    <x v="5"/>
    <n v="288"/>
    <n v="13.96"/>
    <n v="4020.48"/>
    <n v="2617.6999999999998"/>
    <n v="1402.78"/>
    <x v="2"/>
  </r>
  <r>
    <s v="ORD01262"/>
    <d v="2025-03-31T00:00:00"/>
    <x v="4"/>
    <x v="1"/>
    <x v="4"/>
    <n v="12"/>
    <n v="39.54"/>
    <n v="474.48"/>
    <n v="287.27999999999997"/>
    <n v="187.2"/>
    <x v="4"/>
  </r>
  <r>
    <s v="ORD01263"/>
    <d v="2025-01-31T00:00:00"/>
    <x v="1"/>
    <x v="1"/>
    <x v="2"/>
    <n v="230"/>
    <n v="17.899999999999999"/>
    <n v="4117"/>
    <n v="2669.17"/>
    <n v="1447.83"/>
    <x v="10"/>
  </r>
  <r>
    <s v="ORD01264"/>
    <d v="2025-02-08T00:00:00"/>
    <x v="3"/>
    <x v="2"/>
    <x v="4"/>
    <n v="127"/>
    <n v="13.23"/>
    <n v="1680.21"/>
    <n v="1083.05"/>
    <n v="597.16"/>
    <x v="2"/>
  </r>
  <r>
    <s v="ORD01265"/>
    <d v="2025-06-16T00:00:00"/>
    <x v="2"/>
    <x v="1"/>
    <x v="1"/>
    <n v="232"/>
    <n v="19.48"/>
    <n v="4519.3599999999997"/>
    <n v="3141.11"/>
    <n v="1378.25"/>
    <x v="0"/>
  </r>
  <r>
    <s v="ORD01266"/>
    <d v="2025-12-25T00:00:00"/>
    <x v="2"/>
    <x v="2"/>
    <x v="4"/>
    <n v="90"/>
    <n v="19.72"/>
    <n v="1774.8"/>
    <n v="1347.56"/>
    <n v="427.24"/>
    <x v="5"/>
  </r>
  <r>
    <s v="ORD01267"/>
    <d v="2025-12-14T00:00:00"/>
    <x v="1"/>
    <x v="0"/>
    <x v="5"/>
    <n v="59"/>
    <n v="23.59"/>
    <n v="1391.81"/>
    <n v="1090.6600000000001"/>
    <n v="301.14999999999998"/>
    <x v="5"/>
  </r>
  <r>
    <s v="ORD01268"/>
    <d v="2025-05-04T00:00:00"/>
    <x v="5"/>
    <x v="1"/>
    <x v="1"/>
    <n v="199"/>
    <n v="35.590000000000003"/>
    <n v="7082.41"/>
    <n v="4368.37"/>
    <n v="2714.04"/>
    <x v="11"/>
  </r>
  <r>
    <s v="ORD01269"/>
    <d v="2025-08-30T00:00:00"/>
    <x v="3"/>
    <x v="1"/>
    <x v="2"/>
    <n v="203"/>
    <n v="30.57"/>
    <n v="6205.71"/>
    <n v="4479.76"/>
    <n v="1725.95"/>
    <x v="6"/>
  </r>
  <r>
    <s v="ORD01270"/>
    <d v="2025-08-26T00:00:00"/>
    <x v="0"/>
    <x v="0"/>
    <x v="0"/>
    <n v="157"/>
    <n v="26.49"/>
    <n v="4158.93"/>
    <n v="3241.03"/>
    <n v="917.9"/>
    <x v="6"/>
  </r>
  <r>
    <s v="ORD01271"/>
    <d v="2025-07-10T00:00:00"/>
    <x v="2"/>
    <x v="0"/>
    <x v="1"/>
    <n v="124"/>
    <n v="27.88"/>
    <n v="3457.12"/>
    <n v="2637.66"/>
    <n v="819.46"/>
    <x v="8"/>
  </r>
  <r>
    <s v="ORD01272"/>
    <d v="2025-12-20T00:00:00"/>
    <x v="0"/>
    <x v="2"/>
    <x v="2"/>
    <n v="210"/>
    <n v="25.11"/>
    <n v="5273.1"/>
    <n v="3685.45"/>
    <n v="1587.65"/>
    <x v="5"/>
  </r>
  <r>
    <s v="ORD01273"/>
    <d v="2025-04-15T00:00:00"/>
    <x v="1"/>
    <x v="0"/>
    <x v="0"/>
    <n v="126"/>
    <n v="20.37"/>
    <n v="2566.62"/>
    <n v="2045.14"/>
    <n v="521.48"/>
    <x v="7"/>
  </r>
  <r>
    <s v="ORD01274"/>
    <d v="2025-03-02T00:00:00"/>
    <x v="5"/>
    <x v="1"/>
    <x v="4"/>
    <n v="253"/>
    <n v="15.41"/>
    <n v="3898.73"/>
    <n v="2699.71"/>
    <n v="1199.02"/>
    <x v="4"/>
  </r>
  <r>
    <s v="ORD01275"/>
    <d v="2025-07-26T00:00:00"/>
    <x v="2"/>
    <x v="0"/>
    <x v="3"/>
    <n v="46"/>
    <n v="27.39"/>
    <n v="1259.94"/>
    <n v="887.33"/>
    <n v="372.61"/>
    <x v="8"/>
  </r>
  <r>
    <s v="ORD01276"/>
    <d v="2025-11-20T00:00:00"/>
    <x v="3"/>
    <x v="1"/>
    <x v="2"/>
    <n v="74"/>
    <n v="16.07"/>
    <n v="1189.18"/>
    <n v="917.13"/>
    <n v="272.05"/>
    <x v="3"/>
  </r>
  <r>
    <s v="ORD01277"/>
    <d v="2025-07-03T00:00:00"/>
    <x v="1"/>
    <x v="0"/>
    <x v="0"/>
    <n v="108"/>
    <n v="26.26"/>
    <n v="2836.08"/>
    <n v="1850.83"/>
    <n v="985.25"/>
    <x v="8"/>
  </r>
  <r>
    <s v="ORD01278"/>
    <d v="2025-09-14T00:00:00"/>
    <x v="0"/>
    <x v="2"/>
    <x v="4"/>
    <n v="39"/>
    <n v="11.1"/>
    <n v="432.9"/>
    <n v="285.63"/>
    <n v="147.27000000000001"/>
    <x v="9"/>
  </r>
  <r>
    <s v="ORD01279"/>
    <d v="2025-01-13T00:00:00"/>
    <x v="5"/>
    <x v="1"/>
    <x v="0"/>
    <n v="209"/>
    <n v="39.22"/>
    <n v="8196.98"/>
    <n v="6288.13"/>
    <n v="1908.85"/>
    <x v="10"/>
  </r>
  <r>
    <s v="ORD01280"/>
    <d v="2025-01-09T00:00:00"/>
    <x v="5"/>
    <x v="2"/>
    <x v="5"/>
    <n v="241"/>
    <n v="14.25"/>
    <n v="3434.25"/>
    <n v="2084.77"/>
    <n v="1349.48"/>
    <x v="10"/>
  </r>
  <r>
    <s v="ORD01281"/>
    <d v="2025-08-26T00:00:00"/>
    <x v="0"/>
    <x v="1"/>
    <x v="4"/>
    <n v="170"/>
    <n v="27.13"/>
    <n v="4612.1000000000004"/>
    <n v="3473.99"/>
    <n v="1138.1099999999999"/>
    <x v="6"/>
  </r>
  <r>
    <s v="ORD01282"/>
    <d v="2025-05-28T00:00:00"/>
    <x v="1"/>
    <x v="1"/>
    <x v="4"/>
    <n v="184"/>
    <n v="36.74"/>
    <n v="6760.16"/>
    <n v="4080.48"/>
    <n v="2679.68"/>
    <x v="11"/>
  </r>
  <r>
    <s v="ORD01283"/>
    <d v="2025-09-26T00:00:00"/>
    <x v="3"/>
    <x v="0"/>
    <x v="4"/>
    <n v="223"/>
    <n v="35.700000000000003"/>
    <n v="7961.1"/>
    <n v="6032.92"/>
    <n v="1928.18"/>
    <x v="9"/>
  </r>
  <r>
    <s v="ORD01284"/>
    <d v="2025-05-18T00:00:00"/>
    <x v="0"/>
    <x v="2"/>
    <x v="3"/>
    <n v="16"/>
    <n v="21.68"/>
    <n v="346.88"/>
    <n v="269.01"/>
    <n v="77.87"/>
    <x v="11"/>
  </r>
  <r>
    <s v="ORD01285"/>
    <d v="2025-05-01T00:00:00"/>
    <x v="4"/>
    <x v="2"/>
    <x v="4"/>
    <n v="212"/>
    <n v="35.71"/>
    <n v="7570.52"/>
    <n v="4724.5600000000004"/>
    <n v="2845.96"/>
    <x v="11"/>
  </r>
  <r>
    <s v="ORD01286"/>
    <d v="2025-12-19T00:00:00"/>
    <x v="0"/>
    <x v="2"/>
    <x v="2"/>
    <n v="275"/>
    <n v="22.45"/>
    <n v="6173.75"/>
    <n v="4656.41"/>
    <n v="1517.34"/>
    <x v="5"/>
  </r>
  <r>
    <s v="ORD01287"/>
    <d v="2025-09-29T00:00:00"/>
    <x v="2"/>
    <x v="0"/>
    <x v="0"/>
    <n v="14"/>
    <n v="12.46"/>
    <n v="174.44"/>
    <n v="130.85"/>
    <n v="43.59"/>
    <x v="9"/>
  </r>
  <r>
    <s v="ORD01288"/>
    <d v="2025-06-24T00:00:00"/>
    <x v="3"/>
    <x v="2"/>
    <x v="2"/>
    <n v="210"/>
    <n v="39.659999999999997"/>
    <n v="8328.6"/>
    <n v="5097.6099999999997"/>
    <n v="3230.99"/>
    <x v="0"/>
  </r>
  <r>
    <s v="ORD01289"/>
    <d v="2025-09-14T00:00:00"/>
    <x v="1"/>
    <x v="0"/>
    <x v="0"/>
    <n v="264"/>
    <n v="15.98"/>
    <n v="4218.72"/>
    <n v="2787.77"/>
    <n v="1430.95"/>
    <x v="9"/>
  </r>
  <r>
    <s v="ORD01290"/>
    <d v="2025-07-31T00:00:00"/>
    <x v="2"/>
    <x v="1"/>
    <x v="4"/>
    <n v="115"/>
    <n v="32.33"/>
    <n v="3717.95"/>
    <n v="2753.25"/>
    <n v="964.7"/>
    <x v="8"/>
  </r>
  <r>
    <s v="ORD01291"/>
    <d v="2025-06-23T00:00:00"/>
    <x v="0"/>
    <x v="1"/>
    <x v="4"/>
    <n v="208"/>
    <n v="27.2"/>
    <n v="5657.6"/>
    <n v="3856.36"/>
    <n v="1801.24"/>
    <x v="0"/>
  </r>
  <r>
    <s v="ORD01292"/>
    <d v="2025-02-16T00:00:00"/>
    <x v="3"/>
    <x v="0"/>
    <x v="5"/>
    <n v="59"/>
    <n v="13.17"/>
    <n v="777.03"/>
    <n v="550.35"/>
    <n v="226.68"/>
    <x v="2"/>
  </r>
  <r>
    <s v="ORD01293"/>
    <d v="2025-02-14T00:00:00"/>
    <x v="0"/>
    <x v="2"/>
    <x v="2"/>
    <n v="26"/>
    <n v="16.18"/>
    <n v="420.68"/>
    <n v="313.14999999999998"/>
    <n v="107.53"/>
    <x v="2"/>
  </r>
  <r>
    <s v="ORD01294"/>
    <d v="2025-11-14T00:00:00"/>
    <x v="4"/>
    <x v="0"/>
    <x v="5"/>
    <n v="299"/>
    <n v="22.62"/>
    <n v="6763.38"/>
    <n v="4381.4399999999996"/>
    <n v="2381.94"/>
    <x v="3"/>
  </r>
  <r>
    <s v="ORD01295"/>
    <d v="2025-06-23T00:00:00"/>
    <x v="4"/>
    <x v="2"/>
    <x v="1"/>
    <n v="244"/>
    <n v="37.979999999999997"/>
    <n v="9267.1200000000008"/>
    <n v="5879.18"/>
    <n v="3387.94"/>
    <x v="0"/>
  </r>
  <r>
    <s v="ORD01296"/>
    <d v="2025-01-31T00:00:00"/>
    <x v="4"/>
    <x v="2"/>
    <x v="5"/>
    <n v="164"/>
    <n v="16.54"/>
    <n v="2712.56"/>
    <n v="1750.92"/>
    <n v="961.64"/>
    <x v="10"/>
  </r>
  <r>
    <s v="ORD01297"/>
    <d v="2025-11-23T00:00:00"/>
    <x v="0"/>
    <x v="2"/>
    <x v="2"/>
    <n v="292"/>
    <n v="20.99"/>
    <n v="6129.08"/>
    <n v="3678.2"/>
    <n v="2450.88"/>
    <x v="3"/>
  </r>
  <r>
    <s v="ORD01298"/>
    <d v="2025-02-07T00:00:00"/>
    <x v="5"/>
    <x v="0"/>
    <x v="4"/>
    <n v="67"/>
    <n v="39.78"/>
    <n v="2665.26"/>
    <n v="1990.7"/>
    <n v="674.56"/>
    <x v="2"/>
  </r>
  <r>
    <s v="ORD01299"/>
    <d v="2025-03-24T00:00:00"/>
    <x v="4"/>
    <x v="1"/>
    <x v="2"/>
    <n v="263"/>
    <n v="14.81"/>
    <n v="3895.03"/>
    <n v="2759.4"/>
    <n v="1135.6300000000001"/>
    <x v="4"/>
  </r>
  <r>
    <s v="ORD01300"/>
    <d v="2025-09-05T00:00:00"/>
    <x v="4"/>
    <x v="0"/>
    <x v="1"/>
    <n v="11"/>
    <n v="34.43"/>
    <n v="378.73"/>
    <n v="279.17"/>
    <n v="99.56"/>
    <x v="9"/>
  </r>
  <r>
    <s v="ORD01301"/>
    <d v="2025-05-15T00:00:00"/>
    <x v="0"/>
    <x v="1"/>
    <x v="5"/>
    <n v="194"/>
    <n v="19.8"/>
    <n v="3841.2"/>
    <n v="2417.6"/>
    <n v="1423.6"/>
    <x v="11"/>
  </r>
  <r>
    <s v="ORD01302"/>
    <d v="2025-11-01T00:00:00"/>
    <x v="1"/>
    <x v="1"/>
    <x v="1"/>
    <n v="262"/>
    <n v="29.88"/>
    <n v="7828.56"/>
    <n v="5715.43"/>
    <n v="2113.13"/>
    <x v="3"/>
  </r>
  <r>
    <s v="ORD01303"/>
    <d v="2025-12-03T00:00:00"/>
    <x v="2"/>
    <x v="0"/>
    <x v="3"/>
    <n v="115"/>
    <n v="34.979999999999997"/>
    <n v="4022.7"/>
    <n v="2803.15"/>
    <n v="1219.55"/>
    <x v="5"/>
  </r>
  <r>
    <s v="ORD01304"/>
    <d v="2025-08-21T00:00:00"/>
    <x v="2"/>
    <x v="2"/>
    <x v="3"/>
    <n v="297"/>
    <n v="39.65"/>
    <n v="11776.05"/>
    <n v="7077.89"/>
    <n v="4698.16"/>
    <x v="6"/>
  </r>
  <r>
    <s v="ORD01305"/>
    <d v="2025-12-11T00:00:00"/>
    <x v="3"/>
    <x v="2"/>
    <x v="4"/>
    <n v="107"/>
    <n v="28.85"/>
    <n v="3086.95"/>
    <n v="2235.11"/>
    <n v="851.84"/>
    <x v="5"/>
  </r>
  <r>
    <s v="ORD01306"/>
    <d v="2025-12-03T00:00:00"/>
    <x v="4"/>
    <x v="0"/>
    <x v="4"/>
    <n v="18"/>
    <n v="15.87"/>
    <n v="285.66000000000003"/>
    <n v="204.19"/>
    <n v="81.47"/>
    <x v="5"/>
  </r>
  <r>
    <s v="ORD01307"/>
    <d v="2025-03-29T00:00:00"/>
    <x v="3"/>
    <x v="1"/>
    <x v="2"/>
    <n v="237"/>
    <n v="20.39"/>
    <n v="4832.43"/>
    <n v="3093.05"/>
    <n v="1739.38"/>
    <x v="4"/>
  </r>
  <r>
    <s v="ORD01308"/>
    <d v="2025-05-14T00:00:00"/>
    <x v="2"/>
    <x v="1"/>
    <x v="1"/>
    <n v="217"/>
    <n v="27.23"/>
    <n v="5908.91"/>
    <n v="4341.1099999999997"/>
    <n v="1567.8"/>
    <x v="11"/>
  </r>
  <r>
    <s v="ORD01309"/>
    <d v="2025-07-30T00:00:00"/>
    <x v="2"/>
    <x v="0"/>
    <x v="0"/>
    <n v="61"/>
    <n v="22.74"/>
    <n v="1387.14"/>
    <n v="979.39"/>
    <n v="407.75"/>
    <x v="8"/>
  </r>
  <r>
    <s v="ORD01310"/>
    <d v="2025-03-18T00:00:00"/>
    <x v="2"/>
    <x v="1"/>
    <x v="3"/>
    <n v="82"/>
    <n v="25.74"/>
    <n v="2110.6799999999998"/>
    <n v="1626.72"/>
    <n v="483.96"/>
    <x v="4"/>
  </r>
  <r>
    <s v="ORD01311"/>
    <d v="2025-03-28T00:00:00"/>
    <x v="1"/>
    <x v="1"/>
    <x v="0"/>
    <n v="115"/>
    <n v="17.25"/>
    <n v="1983.75"/>
    <n v="1248.56"/>
    <n v="735.19"/>
    <x v="4"/>
  </r>
  <r>
    <s v="ORD01312"/>
    <d v="2025-12-22T00:00:00"/>
    <x v="2"/>
    <x v="0"/>
    <x v="3"/>
    <n v="173"/>
    <n v="29.68"/>
    <n v="5134.6400000000003"/>
    <n v="3170.86"/>
    <n v="1963.78"/>
    <x v="5"/>
  </r>
  <r>
    <s v="ORD01313"/>
    <d v="2025-09-29T00:00:00"/>
    <x v="0"/>
    <x v="2"/>
    <x v="4"/>
    <n v="19"/>
    <n v="10.8"/>
    <n v="205.2"/>
    <n v="126.98"/>
    <n v="78.22"/>
    <x v="9"/>
  </r>
  <r>
    <s v="ORD01314"/>
    <d v="2025-02-23T00:00:00"/>
    <x v="0"/>
    <x v="1"/>
    <x v="0"/>
    <n v="199"/>
    <n v="17.21"/>
    <n v="3424.79"/>
    <n v="2458.4899999999998"/>
    <n v="966.3"/>
    <x v="2"/>
  </r>
  <r>
    <s v="ORD01315"/>
    <d v="2025-07-22T00:00:00"/>
    <x v="5"/>
    <x v="0"/>
    <x v="5"/>
    <n v="299"/>
    <n v="22.7"/>
    <n v="6787.3"/>
    <n v="4805.7299999999996"/>
    <n v="1981.57"/>
    <x v="8"/>
  </r>
  <r>
    <s v="ORD01316"/>
    <d v="2025-10-03T00:00:00"/>
    <x v="2"/>
    <x v="0"/>
    <x v="3"/>
    <n v="32"/>
    <n v="39.119999999999997"/>
    <n v="1251.8399999999999"/>
    <n v="941.38"/>
    <n v="310.45999999999998"/>
    <x v="1"/>
  </r>
  <r>
    <s v="ORD01317"/>
    <d v="2025-07-23T00:00:00"/>
    <x v="3"/>
    <x v="0"/>
    <x v="5"/>
    <n v="235"/>
    <n v="37.25"/>
    <n v="8753.75"/>
    <n v="6006.28"/>
    <n v="2747.47"/>
    <x v="8"/>
  </r>
  <r>
    <s v="ORD01318"/>
    <d v="2025-12-30T00:00:00"/>
    <x v="5"/>
    <x v="1"/>
    <x v="5"/>
    <n v="46"/>
    <n v="24.68"/>
    <n v="1135.28"/>
    <n v="778.1"/>
    <n v="357.18"/>
    <x v="5"/>
  </r>
  <r>
    <s v="ORD01319"/>
    <d v="2025-06-04T00:00:00"/>
    <x v="5"/>
    <x v="1"/>
    <x v="5"/>
    <n v="233"/>
    <n v="34"/>
    <n v="7922"/>
    <n v="5171.29"/>
    <n v="2750.71"/>
    <x v="0"/>
  </r>
  <r>
    <s v="ORD01320"/>
    <d v="2025-01-23T00:00:00"/>
    <x v="5"/>
    <x v="1"/>
    <x v="2"/>
    <n v="238"/>
    <n v="24.93"/>
    <n v="5933.34"/>
    <n v="4153.9399999999996"/>
    <n v="1779.4"/>
    <x v="10"/>
  </r>
  <r>
    <s v="ORD01321"/>
    <d v="2025-09-30T00:00:00"/>
    <x v="1"/>
    <x v="0"/>
    <x v="2"/>
    <n v="167"/>
    <n v="18.96"/>
    <n v="3166.32"/>
    <n v="2209.73"/>
    <n v="956.59"/>
    <x v="9"/>
  </r>
  <r>
    <s v="ORD01322"/>
    <d v="2025-08-13T00:00:00"/>
    <x v="4"/>
    <x v="2"/>
    <x v="0"/>
    <n v="237"/>
    <n v="39.11"/>
    <n v="9269.07"/>
    <n v="6447.64"/>
    <n v="2821.43"/>
    <x v="6"/>
  </r>
  <r>
    <s v="ORD01323"/>
    <d v="2025-07-18T00:00:00"/>
    <x v="1"/>
    <x v="1"/>
    <x v="0"/>
    <n v="78"/>
    <n v="23.76"/>
    <n v="1853.28"/>
    <n v="1344"/>
    <n v="509.28"/>
    <x v="8"/>
  </r>
  <r>
    <s v="ORD01324"/>
    <d v="2025-03-18T00:00:00"/>
    <x v="3"/>
    <x v="1"/>
    <x v="3"/>
    <n v="190"/>
    <n v="33.369999999999997"/>
    <n v="6340.3"/>
    <n v="4210.8900000000003"/>
    <n v="2129.41"/>
    <x v="4"/>
  </r>
  <r>
    <s v="ORD01325"/>
    <d v="2025-01-03T00:00:00"/>
    <x v="4"/>
    <x v="0"/>
    <x v="1"/>
    <n v="86"/>
    <n v="13.98"/>
    <n v="1202.28"/>
    <n v="770.94"/>
    <n v="431.34"/>
    <x v="10"/>
  </r>
  <r>
    <s v="ORD01326"/>
    <d v="2025-06-19T00:00:00"/>
    <x v="0"/>
    <x v="2"/>
    <x v="3"/>
    <n v="207"/>
    <n v="13.92"/>
    <n v="2881.44"/>
    <n v="2054.02"/>
    <n v="827.42"/>
    <x v="0"/>
  </r>
  <r>
    <s v="ORD01327"/>
    <d v="2025-01-21T00:00:00"/>
    <x v="2"/>
    <x v="2"/>
    <x v="3"/>
    <n v="130"/>
    <n v="20.03"/>
    <n v="2603.9"/>
    <n v="1581.08"/>
    <n v="1022.82"/>
    <x v="10"/>
  </r>
  <r>
    <s v="ORD01328"/>
    <d v="2025-10-17T00:00:00"/>
    <x v="3"/>
    <x v="2"/>
    <x v="1"/>
    <n v="44"/>
    <n v="37"/>
    <n v="1628"/>
    <n v="1077.2"/>
    <n v="550.79999999999995"/>
    <x v="1"/>
  </r>
  <r>
    <s v="ORD01329"/>
    <d v="2025-05-26T00:00:00"/>
    <x v="4"/>
    <x v="2"/>
    <x v="2"/>
    <n v="202"/>
    <n v="37.549999999999997"/>
    <n v="7585.1"/>
    <n v="5110.58"/>
    <n v="2474.52"/>
    <x v="11"/>
  </r>
  <r>
    <s v="ORD01330"/>
    <d v="2025-04-24T00:00:00"/>
    <x v="0"/>
    <x v="0"/>
    <x v="2"/>
    <n v="258"/>
    <n v="18.13"/>
    <n v="4677.54"/>
    <n v="3262.06"/>
    <n v="1415.48"/>
    <x v="7"/>
  </r>
  <r>
    <s v="ORD01331"/>
    <d v="2025-08-29T00:00:00"/>
    <x v="5"/>
    <x v="2"/>
    <x v="0"/>
    <n v="48"/>
    <n v="39.72"/>
    <n v="1906.56"/>
    <n v="1336.7"/>
    <n v="569.86"/>
    <x v="6"/>
  </r>
  <r>
    <s v="ORD01332"/>
    <d v="2025-02-06T00:00:00"/>
    <x v="3"/>
    <x v="0"/>
    <x v="1"/>
    <n v="70"/>
    <n v="32.979999999999997"/>
    <n v="2308.6"/>
    <n v="1431.56"/>
    <n v="877.04"/>
    <x v="2"/>
  </r>
  <r>
    <s v="ORD01333"/>
    <d v="2025-02-10T00:00:00"/>
    <x v="3"/>
    <x v="0"/>
    <x v="4"/>
    <n v="254"/>
    <n v="21.05"/>
    <n v="5346.7"/>
    <n v="4119.04"/>
    <n v="1227.6600000000001"/>
    <x v="2"/>
  </r>
  <r>
    <s v="ORD01334"/>
    <d v="2025-03-25T00:00:00"/>
    <x v="2"/>
    <x v="0"/>
    <x v="1"/>
    <n v="113"/>
    <n v="27.21"/>
    <n v="3074.73"/>
    <n v="2375.63"/>
    <n v="699.1"/>
    <x v="4"/>
  </r>
  <r>
    <s v="ORD01335"/>
    <d v="2025-05-17T00:00:00"/>
    <x v="5"/>
    <x v="2"/>
    <x v="5"/>
    <n v="249"/>
    <n v="10.18"/>
    <n v="2534.8200000000002"/>
    <n v="1722.46"/>
    <n v="812.36"/>
    <x v="11"/>
  </r>
  <r>
    <s v="ORD01336"/>
    <d v="2025-05-01T00:00:00"/>
    <x v="1"/>
    <x v="1"/>
    <x v="3"/>
    <n v="270"/>
    <n v="35.450000000000003"/>
    <n v="9571.5"/>
    <n v="6287.1"/>
    <n v="3284.4"/>
    <x v="11"/>
  </r>
  <r>
    <s v="ORD01337"/>
    <d v="2025-01-26T00:00:00"/>
    <x v="2"/>
    <x v="2"/>
    <x v="2"/>
    <n v="138"/>
    <n v="36.15"/>
    <n v="4988.7"/>
    <n v="3157.54"/>
    <n v="1831.16"/>
    <x v="10"/>
  </r>
  <r>
    <s v="ORD01338"/>
    <d v="2025-11-12T00:00:00"/>
    <x v="2"/>
    <x v="1"/>
    <x v="4"/>
    <n v="272"/>
    <n v="37.44"/>
    <n v="10183.68"/>
    <n v="8052.74"/>
    <n v="2130.94"/>
    <x v="3"/>
  </r>
  <r>
    <s v="ORD01339"/>
    <d v="2025-03-14T00:00:00"/>
    <x v="4"/>
    <x v="1"/>
    <x v="4"/>
    <n v="117"/>
    <n v="31.54"/>
    <n v="3690.18"/>
    <n v="2610.8000000000002"/>
    <n v="1079.3800000000001"/>
    <x v="4"/>
  </r>
  <r>
    <s v="ORD01340"/>
    <d v="2025-06-12T00:00:00"/>
    <x v="3"/>
    <x v="0"/>
    <x v="0"/>
    <n v="247"/>
    <n v="12.07"/>
    <n v="2981.29"/>
    <n v="2020.48"/>
    <n v="960.81"/>
    <x v="0"/>
  </r>
  <r>
    <s v="ORD01341"/>
    <d v="2025-02-28T00:00:00"/>
    <x v="2"/>
    <x v="1"/>
    <x v="2"/>
    <n v="80"/>
    <n v="17.399999999999999"/>
    <n v="1392"/>
    <n v="1106.27"/>
    <n v="285.73"/>
    <x v="2"/>
  </r>
  <r>
    <s v="ORD01342"/>
    <d v="2025-02-23T00:00:00"/>
    <x v="2"/>
    <x v="0"/>
    <x v="2"/>
    <n v="170"/>
    <n v="23.69"/>
    <n v="4027.3"/>
    <n v="2833.28"/>
    <n v="1194.02"/>
    <x v="2"/>
  </r>
  <r>
    <s v="ORD01343"/>
    <d v="2025-05-24T00:00:00"/>
    <x v="1"/>
    <x v="0"/>
    <x v="4"/>
    <n v="216"/>
    <n v="10.35"/>
    <n v="2235.6"/>
    <n v="1614.56"/>
    <n v="621.04"/>
    <x v="11"/>
  </r>
  <r>
    <s v="ORD01344"/>
    <d v="2025-08-05T00:00:00"/>
    <x v="2"/>
    <x v="0"/>
    <x v="4"/>
    <n v="92"/>
    <n v="16.7"/>
    <n v="1536.4"/>
    <n v="1191.47"/>
    <n v="344.93"/>
    <x v="6"/>
  </r>
  <r>
    <s v="ORD01345"/>
    <d v="2025-06-15T00:00:00"/>
    <x v="0"/>
    <x v="1"/>
    <x v="4"/>
    <n v="54"/>
    <n v="29.58"/>
    <n v="1597.32"/>
    <n v="1205.1500000000001"/>
    <n v="392.17"/>
    <x v="0"/>
  </r>
  <r>
    <s v="ORD01346"/>
    <d v="2025-12-24T00:00:00"/>
    <x v="0"/>
    <x v="0"/>
    <x v="1"/>
    <n v="27"/>
    <n v="34.6"/>
    <n v="934.2"/>
    <n v="583.88"/>
    <n v="350.32"/>
    <x v="5"/>
  </r>
  <r>
    <s v="ORD01347"/>
    <d v="2025-10-24T00:00:00"/>
    <x v="4"/>
    <x v="2"/>
    <x v="4"/>
    <n v="238"/>
    <n v="35.090000000000003"/>
    <n v="8351.42"/>
    <n v="5167.43"/>
    <n v="3183.99"/>
    <x v="1"/>
  </r>
  <r>
    <s v="ORD01348"/>
    <d v="2025-03-03T00:00:00"/>
    <x v="4"/>
    <x v="2"/>
    <x v="5"/>
    <n v="214"/>
    <n v="13.18"/>
    <n v="2820.52"/>
    <n v="1721.86"/>
    <n v="1098.6600000000001"/>
    <x v="4"/>
  </r>
  <r>
    <s v="ORD01349"/>
    <d v="2025-10-12T00:00:00"/>
    <x v="1"/>
    <x v="2"/>
    <x v="1"/>
    <n v="34"/>
    <n v="39.06"/>
    <n v="1328.04"/>
    <n v="1026.43"/>
    <n v="301.61"/>
    <x v="1"/>
  </r>
  <r>
    <s v="ORD01350"/>
    <d v="2025-05-05T00:00:00"/>
    <x v="2"/>
    <x v="0"/>
    <x v="3"/>
    <n v="260"/>
    <n v="13.55"/>
    <n v="3523"/>
    <n v="2265.92"/>
    <n v="1257.08"/>
    <x v="11"/>
  </r>
  <r>
    <s v="ORD01351"/>
    <d v="2025-03-10T00:00:00"/>
    <x v="2"/>
    <x v="1"/>
    <x v="3"/>
    <n v="15"/>
    <n v="38.74"/>
    <n v="581.1"/>
    <n v="357.64"/>
    <n v="223.46"/>
    <x v="4"/>
  </r>
  <r>
    <s v="ORD01352"/>
    <d v="2025-05-16T00:00:00"/>
    <x v="4"/>
    <x v="0"/>
    <x v="3"/>
    <n v="117"/>
    <n v="36"/>
    <n v="4212"/>
    <n v="2621.0100000000002"/>
    <n v="1590.99"/>
    <x v="11"/>
  </r>
  <r>
    <s v="ORD01353"/>
    <d v="2025-11-08T00:00:00"/>
    <x v="3"/>
    <x v="2"/>
    <x v="3"/>
    <n v="13"/>
    <n v="15.44"/>
    <n v="200.72"/>
    <n v="128.28"/>
    <n v="72.44"/>
    <x v="3"/>
  </r>
  <r>
    <s v="ORD01354"/>
    <d v="2025-01-19T00:00:00"/>
    <x v="1"/>
    <x v="0"/>
    <x v="5"/>
    <n v="68"/>
    <n v="13.03"/>
    <n v="886.04"/>
    <n v="563.25"/>
    <n v="322.79000000000002"/>
    <x v="10"/>
  </r>
  <r>
    <s v="ORD01355"/>
    <d v="2025-02-24T00:00:00"/>
    <x v="0"/>
    <x v="1"/>
    <x v="0"/>
    <n v="157"/>
    <n v="17.53"/>
    <n v="2752.21"/>
    <n v="2089.67"/>
    <n v="662.54"/>
    <x v="2"/>
  </r>
  <r>
    <s v="ORD01356"/>
    <d v="2025-09-01T00:00:00"/>
    <x v="0"/>
    <x v="1"/>
    <x v="4"/>
    <n v="26"/>
    <n v="27.43"/>
    <n v="713.18"/>
    <n v="461.94"/>
    <n v="251.24"/>
    <x v="9"/>
  </r>
  <r>
    <s v="ORD01357"/>
    <d v="2025-07-08T00:00:00"/>
    <x v="0"/>
    <x v="2"/>
    <x v="1"/>
    <n v="232"/>
    <n v="23.91"/>
    <n v="5547.12"/>
    <n v="3750.87"/>
    <n v="1796.25"/>
    <x v="8"/>
  </r>
  <r>
    <s v="ORD01358"/>
    <d v="2025-04-03T00:00:00"/>
    <x v="3"/>
    <x v="0"/>
    <x v="5"/>
    <n v="36"/>
    <n v="27.46"/>
    <n v="988.56"/>
    <n v="656.66"/>
    <n v="331.9"/>
    <x v="7"/>
  </r>
  <r>
    <s v="ORD01359"/>
    <d v="2025-03-18T00:00:00"/>
    <x v="0"/>
    <x v="2"/>
    <x v="1"/>
    <n v="20"/>
    <n v="36.08"/>
    <n v="721.6"/>
    <n v="470.64"/>
    <n v="250.96"/>
    <x v="4"/>
  </r>
  <r>
    <s v="ORD01360"/>
    <d v="2025-08-28T00:00:00"/>
    <x v="0"/>
    <x v="0"/>
    <x v="3"/>
    <n v="57"/>
    <n v="18.66"/>
    <n v="1063.6199999999999"/>
    <n v="692.63"/>
    <n v="370.99"/>
    <x v="6"/>
  </r>
  <r>
    <s v="ORD01361"/>
    <d v="2025-04-25T00:00:00"/>
    <x v="4"/>
    <x v="1"/>
    <x v="0"/>
    <n v="207"/>
    <n v="32.950000000000003"/>
    <n v="6820.65"/>
    <n v="4773.8500000000004"/>
    <n v="2046.8"/>
    <x v="7"/>
  </r>
  <r>
    <s v="ORD01362"/>
    <d v="2025-03-11T00:00:00"/>
    <x v="2"/>
    <x v="1"/>
    <x v="4"/>
    <n v="164"/>
    <n v="37.06"/>
    <n v="6077.84"/>
    <n v="4787.1000000000004"/>
    <n v="1290.74"/>
    <x v="4"/>
  </r>
  <r>
    <s v="ORD01363"/>
    <d v="2025-10-28T00:00:00"/>
    <x v="4"/>
    <x v="1"/>
    <x v="3"/>
    <n v="22"/>
    <n v="10.78"/>
    <n v="237.16"/>
    <n v="184.2"/>
    <n v="52.96"/>
    <x v="1"/>
  </r>
  <r>
    <s v="ORD01364"/>
    <d v="2025-08-15T00:00:00"/>
    <x v="4"/>
    <x v="0"/>
    <x v="4"/>
    <n v="144"/>
    <n v="30.49"/>
    <n v="4390.5600000000004"/>
    <n v="2775.01"/>
    <n v="1615.55"/>
    <x v="6"/>
  </r>
  <r>
    <s v="ORD01365"/>
    <d v="2025-12-15T00:00:00"/>
    <x v="2"/>
    <x v="2"/>
    <x v="0"/>
    <n v="245"/>
    <n v="27.56"/>
    <n v="6752.2"/>
    <n v="4190.7299999999996"/>
    <n v="2561.4699999999998"/>
    <x v="5"/>
  </r>
  <r>
    <s v="ORD01366"/>
    <d v="2025-01-17T00:00:00"/>
    <x v="3"/>
    <x v="2"/>
    <x v="5"/>
    <n v="164"/>
    <n v="29.2"/>
    <n v="4788.8"/>
    <n v="3421.85"/>
    <n v="1366.95"/>
    <x v="10"/>
  </r>
  <r>
    <s v="ORD01367"/>
    <d v="2025-08-04T00:00:00"/>
    <x v="1"/>
    <x v="1"/>
    <x v="4"/>
    <n v="250"/>
    <n v="10.53"/>
    <n v="2632.5"/>
    <n v="1764.73"/>
    <n v="867.77"/>
    <x v="6"/>
  </r>
  <r>
    <s v="ORD01368"/>
    <d v="2025-09-07T00:00:00"/>
    <x v="2"/>
    <x v="0"/>
    <x v="3"/>
    <n v="211"/>
    <n v="10.06"/>
    <n v="2122.66"/>
    <n v="1423.75"/>
    <n v="698.91"/>
    <x v="9"/>
  </r>
  <r>
    <s v="ORD01369"/>
    <d v="2025-01-10T00:00:00"/>
    <x v="2"/>
    <x v="0"/>
    <x v="4"/>
    <n v="270"/>
    <n v="26.42"/>
    <n v="7133.4"/>
    <n v="4790.21"/>
    <n v="2343.19"/>
    <x v="10"/>
  </r>
  <r>
    <s v="ORD01370"/>
    <d v="2025-07-20T00:00:00"/>
    <x v="1"/>
    <x v="2"/>
    <x v="3"/>
    <n v="25"/>
    <n v="21.2"/>
    <n v="530"/>
    <n v="358.38"/>
    <n v="171.62"/>
    <x v="8"/>
  </r>
  <r>
    <s v="ORD01371"/>
    <d v="2025-09-14T00:00:00"/>
    <x v="1"/>
    <x v="2"/>
    <x v="2"/>
    <n v="32"/>
    <n v="11.07"/>
    <n v="354.24"/>
    <n v="244.55"/>
    <n v="109.69"/>
    <x v="9"/>
  </r>
  <r>
    <s v="ORD01372"/>
    <d v="2025-01-23T00:00:00"/>
    <x v="0"/>
    <x v="0"/>
    <x v="2"/>
    <n v="186"/>
    <n v="13.73"/>
    <n v="2553.7800000000002"/>
    <n v="1994.36"/>
    <n v="559.41999999999996"/>
    <x v="10"/>
  </r>
  <r>
    <s v="ORD01373"/>
    <d v="2025-12-28T00:00:00"/>
    <x v="3"/>
    <x v="1"/>
    <x v="5"/>
    <n v="54"/>
    <n v="18.059999999999999"/>
    <n v="975.24"/>
    <n v="772.46"/>
    <n v="202.78"/>
    <x v="5"/>
  </r>
  <r>
    <s v="ORD01374"/>
    <d v="2025-03-15T00:00:00"/>
    <x v="1"/>
    <x v="0"/>
    <x v="4"/>
    <n v="103"/>
    <n v="35.97"/>
    <n v="3704.91"/>
    <n v="2745.03"/>
    <n v="959.88"/>
    <x v="4"/>
  </r>
  <r>
    <s v="ORD01375"/>
    <d v="2025-10-13T00:00:00"/>
    <x v="0"/>
    <x v="1"/>
    <x v="2"/>
    <n v="235"/>
    <n v="36.28"/>
    <n v="8525.7999999999993"/>
    <n v="5294.82"/>
    <n v="3230.98"/>
    <x v="1"/>
  </r>
  <r>
    <s v="ORD01376"/>
    <d v="2025-06-19T00:00:00"/>
    <x v="5"/>
    <x v="2"/>
    <x v="2"/>
    <n v="86"/>
    <n v="36.97"/>
    <n v="3179.42"/>
    <n v="2359.64"/>
    <n v="819.78"/>
    <x v="0"/>
  </r>
  <r>
    <s v="ORD01377"/>
    <d v="2025-03-14T00:00:00"/>
    <x v="0"/>
    <x v="1"/>
    <x v="0"/>
    <n v="63"/>
    <n v="12.27"/>
    <n v="773.01"/>
    <n v="598.14"/>
    <n v="174.87"/>
    <x v="4"/>
  </r>
  <r>
    <s v="ORD01378"/>
    <d v="2025-09-09T00:00:00"/>
    <x v="0"/>
    <x v="2"/>
    <x v="2"/>
    <n v="51"/>
    <n v="19.64"/>
    <n v="1001.64"/>
    <n v="782.55"/>
    <n v="219.09"/>
    <x v="9"/>
  </r>
  <r>
    <s v="ORD01379"/>
    <d v="2025-09-10T00:00:00"/>
    <x v="5"/>
    <x v="0"/>
    <x v="1"/>
    <n v="286"/>
    <n v="19.79"/>
    <n v="5659.94"/>
    <n v="4145.6499999999996"/>
    <n v="1514.29"/>
    <x v="9"/>
  </r>
  <r>
    <s v="ORD01380"/>
    <d v="2025-10-16T00:00:00"/>
    <x v="0"/>
    <x v="0"/>
    <x v="2"/>
    <n v="151"/>
    <n v="37.56"/>
    <n v="5671.56"/>
    <n v="3751.32"/>
    <n v="1920.24"/>
    <x v="1"/>
  </r>
  <r>
    <s v="ORD01381"/>
    <d v="2025-03-22T00:00:00"/>
    <x v="1"/>
    <x v="1"/>
    <x v="1"/>
    <n v="161"/>
    <n v="24.52"/>
    <n v="3947.72"/>
    <n v="2888.15"/>
    <n v="1059.57"/>
    <x v="4"/>
  </r>
  <r>
    <s v="ORD01382"/>
    <d v="2025-01-31T00:00:00"/>
    <x v="1"/>
    <x v="0"/>
    <x v="4"/>
    <n v="146"/>
    <n v="36.25"/>
    <n v="5292.5"/>
    <n v="3849.36"/>
    <n v="1443.14"/>
    <x v="10"/>
  </r>
  <r>
    <s v="ORD01383"/>
    <d v="2025-09-06T00:00:00"/>
    <x v="1"/>
    <x v="2"/>
    <x v="3"/>
    <n v="86"/>
    <n v="36.090000000000003"/>
    <n v="3103.74"/>
    <n v="2344.67"/>
    <n v="759.07"/>
    <x v="9"/>
  </r>
  <r>
    <s v="ORD01384"/>
    <d v="2025-08-08T00:00:00"/>
    <x v="0"/>
    <x v="0"/>
    <x v="4"/>
    <n v="256"/>
    <n v="34.03"/>
    <n v="8711.68"/>
    <n v="5589.41"/>
    <n v="3122.27"/>
    <x v="6"/>
  </r>
  <r>
    <s v="ORD01385"/>
    <d v="2025-12-23T00:00:00"/>
    <x v="1"/>
    <x v="2"/>
    <x v="3"/>
    <n v="251"/>
    <n v="13.87"/>
    <n v="3481.37"/>
    <n v="2304.58"/>
    <n v="1176.79"/>
    <x v="5"/>
  </r>
  <r>
    <s v="ORD01386"/>
    <d v="2025-12-30T00:00:00"/>
    <x v="0"/>
    <x v="2"/>
    <x v="4"/>
    <n v="248"/>
    <n v="24.77"/>
    <n v="6142.96"/>
    <n v="4157.59"/>
    <n v="1985.37"/>
    <x v="5"/>
  </r>
  <r>
    <s v="ORD01387"/>
    <d v="2025-12-12T00:00:00"/>
    <x v="0"/>
    <x v="0"/>
    <x v="5"/>
    <n v="189"/>
    <n v="21.48"/>
    <n v="4059.72"/>
    <n v="2644.15"/>
    <n v="1415.57"/>
    <x v="5"/>
  </r>
  <r>
    <s v="ORD01388"/>
    <d v="2025-07-09T00:00:00"/>
    <x v="3"/>
    <x v="0"/>
    <x v="5"/>
    <n v="91"/>
    <n v="24.67"/>
    <n v="2244.9699999999998"/>
    <n v="1455.72"/>
    <n v="789.25"/>
    <x v="8"/>
  </r>
  <r>
    <s v="ORD01389"/>
    <d v="2025-03-23T00:00:00"/>
    <x v="2"/>
    <x v="1"/>
    <x v="4"/>
    <n v="146"/>
    <n v="18.850000000000001"/>
    <n v="2752.1"/>
    <n v="2098.5"/>
    <n v="653.6"/>
    <x v="4"/>
  </r>
  <r>
    <s v="ORD01390"/>
    <d v="2025-07-30T00:00:00"/>
    <x v="0"/>
    <x v="2"/>
    <x v="0"/>
    <n v="199"/>
    <n v="20.85"/>
    <n v="4149.1499999999996"/>
    <n v="2553.4"/>
    <n v="1595.75"/>
    <x v="8"/>
  </r>
  <r>
    <s v="ORD01391"/>
    <d v="2025-09-08T00:00:00"/>
    <x v="1"/>
    <x v="0"/>
    <x v="0"/>
    <n v="232"/>
    <n v="26.36"/>
    <n v="6115.52"/>
    <n v="4745.37"/>
    <n v="1370.15"/>
    <x v="9"/>
  </r>
  <r>
    <s v="ORD01392"/>
    <d v="2025-02-07T00:00:00"/>
    <x v="4"/>
    <x v="0"/>
    <x v="5"/>
    <n v="84"/>
    <n v="26.04"/>
    <n v="2187.36"/>
    <n v="1529.99"/>
    <n v="657.37"/>
    <x v="2"/>
  </r>
  <r>
    <s v="ORD01393"/>
    <d v="2025-02-01T00:00:00"/>
    <x v="5"/>
    <x v="1"/>
    <x v="0"/>
    <n v="184"/>
    <n v="10.68"/>
    <n v="1965.12"/>
    <n v="1424.44"/>
    <n v="540.67999999999995"/>
    <x v="2"/>
  </r>
  <r>
    <s v="ORD01394"/>
    <d v="2025-11-06T00:00:00"/>
    <x v="4"/>
    <x v="0"/>
    <x v="3"/>
    <n v="273"/>
    <n v="16.079999999999998"/>
    <n v="4389.84"/>
    <n v="2720.71"/>
    <n v="1669.13"/>
    <x v="3"/>
  </r>
  <r>
    <s v="ORD01395"/>
    <d v="2025-09-14T00:00:00"/>
    <x v="4"/>
    <x v="1"/>
    <x v="4"/>
    <n v="72"/>
    <n v="38.71"/>
    <n v="2787.12"/>
    <n v="2097.27"/>
    <n v="689.85"/>
    <x v="9"/>
  </r>
  <r>
    <s v="ORD01396"/>
    <d v="2025-11-04T00:00:00"/>
    <x v="5"/>
    <x v="0"/>
    <x v="1"/>
    <n v="135"/>
    <n v="12.06"/>
    <n v="1628.1"/>
    <n v="1286.54"/>
    <n v="341.56"/>
    <x v="3"/>
  </r>
  <r>
    <s v="ORD01397"/>
    <d v="2025-08-06T00:00:00"/>
    <x v="4"/>
    <x v="2"/>
    <x v="0"/>
    <n v="168"/>
    <n v="28.26"/>
    <n v="4747.68"/>
    <n v="3348.93"/>
    <n v="1398.75"/>
    <x v="6"/>
  </r>
  <r>
    <s v="ORD01398"/>
    <d v="2025-04-19T00:00:00"/>
    <x v="5"/>
    <x v="2"/>
    <x v="3"/>
    <n v="14"/>
    <n v="33.61"/>
    <n v="470.54"/>
    <n v="334.72"/>
    <n v="135.82"/>
    <x v="7"/>
  </r>
  <r>
    <s v="ORD01399"/>
    <d v="2025-02-08T00:00:00"/>
    <x v="4"/>
    <x v="2"/>
    <x v="1"/>
    <n v="262"/>
    <n v="12.28"/>
    <n v="3217.36"/>
    <n v="2508.66"/>
    <n v="708.7"/>
    <x v="2"/>
  </r>
  <r>
    <s v="ORD01400"/>
    <d v="2025-01-08T00:00:00"/>
    <x v="4"/>
    <x v="2"/>
    <x v="3"/>
    <n v="109"/>
    <n v="27.3"/>
    <n v="2975.7"/>
    <n v="1908.98"/>
    <n v="1066.72"/>
    <x v="10"/>
  </r>
  <r>
    <s v="ORD01401"/>
    <d v="2025-09-23T00:00:00"/>
    <x v="4"/>
    <x v="0"/>
    <x v="0"/>
    <n v="90"/>
    <n v="13.92"/>
    <n v="1252.8"/>
    <n v="968.68"/>
    <n v="284.12"/>
    <x v="9"/>
  </r>
  <r>
    <s v="ORD01402"/>
    <d v="2025-04-07T00:00:00"/>
    <x v="5"/>
    <x v="2"/>
    <x v="3"/>
    <n v="290"/>
    <n v="24.01"/>
    <n v="6962.9"/>
    <n v="5392.3"/>
    <n v="1570.6"/>
    <x v="7"/>
  </r>
  <r>
    <s v="ORD01403"/>
    <d v="2025-04-02T00:00:00"/>
    <x v="5"/>
    <x v="0"/>
    <x v="0"/>
    <n v="183"/>
    <n v="12.07"/>
    <n v="2208.81"/>
    <n v="1537.94"/>
    <n v="670.87"/>
    <x v="7"/>
  </r>
  <r>
    <s v="ORD01404"/>
    <d v="2025-09-04T00:00:00"/>
    <x v="4"/>
    <x v="2"/>
    <x v="4"/>
    <n v="285"/>
    <n v="11.77"/>
    <n v="3354.45"/>
    <n v="2054.04"/>
    <n v="1300.4100000000001"/>
    <x v="9"/>
  </r>
  <r>
    <s v="ORD01405"/>
    <d v="2025-10-24T00:00:00"/>
    <x v="1"/>
    <x v="2"/>
    <x v="2"/>
    <n v="99"/>
    <n v="20.76"/>
    <n v="2055.2399999999998"/>
    <n v="1392.73"/>
    <n v="662.51"/>
    <x v="1"/>
  </r>
  <r>
    <s v="ORD01406"/>
    <d v="2025-11-19T00:00:00"/>
    <x v="0"/>
    <x v="1"/>
    <x v="5"/>
    <n v="235"/>
    <n v="26.41"/>
    <n v="6206.35"/>
    <n v="4740.3900000000003"/>
    <n v="1465.96"/>
    <x v="3"/>
  </r>
  <r>
    <s v="ORD01407"/>
    <d v="2025-09-27T00:00:00"/>
    <x v="0"/>
    <x v="2"/>
    <x v="4"/>
    <n v="255"/>
    <n v="39.99"/>
    <n v="10197.450000000001"/>
    <n v="6538.28"/>
    <n v="3659.17"/>
    <x v="9"/>
  </r>
  <r>
    <s v="ORD01408"/>
    <d v="2025-07-27T00:00:00"/>
    <x v="2"/>
    <x v="2"/>
    <x v="4"/>
    <n v="231"/>
    <n v="11.29"/>
    <n v="2607.9899999999998"/>
    <n v="1777.55"/>
    <n v="830.44"/>
    <x v="8"/>
  </r>
  <r>
    <s v="ORD01409"/>
    <d v="2025-11-29T00:00:00"/>
    <x v="3"/>
    <x v="0"/>
    <x v="1"/>
    <n v="291"/>
    <n v="14.38"/>
    <n v="4184.58"/>
    <n v="2728.63"/>
    <n v="1455.95"/>
    <x v="3"/>
  </r>
  <r>
    <s v="ORD01410"/>
    <d v="2025-08-11T00:00:00"/>
    <x v="4"/>
    <x v="0"/>
    <x v="3"/>
    <n v="224"/>
    <n v="19.8"/>
    <n v="4435.2"/>
    <n v="3372.1"/>
    <n v="1063.0999999999999"/>
    <x v="6"/>
  </r>
  <r>
    <s v="ORD01411"/>
    <d v="2025-04-08T00:00:00"/>
    <x v="2"/>
    <x v="2"/>
    <x v="0"/>
    <n v="77"/>
    <n v="33.43"/>
    <n v="2574.11"/>
    <n v="2019.62"/>
    <n v="554.49"/>
    <x v="7"/>
  </r>
  <r>
    <s v="ORD01412"/>
    <d v="2025-01-21T00:00:00"/>
    <x v="4"/>
    <x v="1"/>
    <x v="2"/>
    <n v="187"/>
    <n v="30.3"/>
    <n v="5666.1"/>
    <n v="3812.54"/>
    <n v="1853.56"/>
    <x v="10"/>
  </r>
  <r>
    <s v="ORD01413"/>
    <d v="2025-06-12T00:00:00"/>
    <x v="5"/>
    <x v="1"/>
    <x v="1"/>
    <n v="284"/>
    <n v="26"/>
    <n v="7384"/>
    <n v="4845.28"/>
    <n v="2538.7199999999998"/>
    <x v="0"/>
  </r>
  <r>
    <s v="ORD01414"/>
    <d v="2025-11-22T00:00:00"/>
    <x v="0"/>
    <x v="1"/>
    <x v="5"/>
    <n v="179"/>
    <n v="18.75"/>
    <n v="3356.25"/>
    <n v="2320.23"/>
    <n v="1036.02"/>
    <x v="3"/>
  </r>
  <r>
    <s v="ORD01415"/>
    <d v="2025-11-12T00:00:00"/>
    <x v="3"/>
    <x v="0"/>
    <x v="0"/>
    <n v="229"/>
    <n v="22.66"/>
    <n v="5189.1400000000003"/>
    <n v="3420.47"/>
    <n v="1768.67"/>
    <x v="3"/>
  </r>
  <r>
    <s v="ORD01416"/>
    <d v="2025-04-05T00:00:00"/>
    <x v="2"/>
    <x v="0"/>
    <x v="2"/>
    <n v="103"/>
    <n v="36.590000000000003"/>
    <n v="3768.77"/>
    <n v="2829.44"/>
    <n v="939.33"/>
    <x v="7"/>
  </r>
  <r>
    <s v="ORD01417"/>
    <d v="2025-04-04T00:00:00"/>
    <x v="0"/>
    <x v="1"/>
    <x v="4"/>
    <n v="247"/>
    <n v="14.33"/>
    <n v="3539.51"/>
    <n v="2606.59"/>
    <n v="932.92"/>
    <x v="7"/>
  </r>
  <r>
    <s v="ORD01418"/>
    <d v="2025-02-07T00:00:00"/>
    <x v="5"/>
    <x v="2"/>
    <x v="1"/>
    <n v="262"/>
    <n v="22.86"/>
    <n v="5989.32"/>
    <n v="4321.66"/>
    <n v="1667.66"/>
    <x v="2"/>
  </r>
  <r>
    <s v="ORD01419"/>
    <d v="2025-02-16T00:00:00"/>
    <x v="1"/>
    <x v="2"/>
    <x v="4"/>
    <n v="196"/>
    <n v="24.27"/>
    <n v="4756.92"/>
    <n v="3741.88"/>
    <n v="1015.04"/>
    <x v="2"/>
  </r>
  <r>
    <s v="ORD01420"/>
    <d v="2025-02-15T00:00:00"/>
    <x v="4"/>
    <x v="1"/>
    <x v="0"/>
    <n v="214"/>
    <n v="33.22"/>
    <n v="7109.08"/>
    <n v="5494.22"/>
    <n v="1614.86"/>
    <x v="2"/>
  </r>
  <r>
    <s v="ORD01421"/>
    <d v="2025-09-20T00:00:00"/>
    <x v="1"/>
    <x v="2"/>
    <x v="3"/>
    <n v="139"/>
    <n v="10.63"/>
    <n v="1477.57"/>
    <n v="1141.57"/>
    <n v="336"/>
    <x v="9"/>
  </r>
  <r>
    <s v="ORD01422"/>
    <d v="2025-05-02T00:00:00"/>
    <x v="2"/>
    <x v="1"/>
    <x v="4"/>
    <n v="201"/>
    <n v="38.869999999999997"/>
    <n v="7812.87"/>
    <n v="6053.72"/>
    <n v="1759.15"/>
    <x v="11"/>
  </r>
  <r>
    <s v="ORD01423"/>
    <d v="2025-03-08T00:00:00"/>
    <x v="0"/>
    <x v="1"/>
    <x v="3"/>
    <n v="108"/>
    <n v="39.28"/>
    <n v="4242.24"/>
    <n v="3286.7"/>
    <n v="955.54"/>
    <x v="4"/>
  </r>
  <r>
    <s v="ORD01424"/>
    <d v="2025-06-10T00:00:00"/>
    <x v="5"/>
    <x v="2"/>
    <x v="1"/>
    <n v="233"/>
    <n v="14.14"/>
    <n v="3294.62"/>
    <n v="2359.67"/>
    <n v="934.95"/>
    <x v="0"/>
  </r>
  <r>
    <s v="ORD01425"/>
    <d v="2025-05-21T00:00:00"/>
    <x v="0"/>
    <x v="2"/>
    <x v="0"/>
    <n v="113"/>
    <n v="13.66"/>
    <n v="1543.58"/>
    <n v="1194.8399999999999"/>
    <n v="348.74"/>
    <x v="11"/>
  </r>
  <r>
    <s v="ORD01426"/>
    <d v="2025-10-23T00:00:00"/>
    <x v="5"/>
    <x v="0"/>
    <x v="3"/>
    <n v="151"/>
    <n v="11.25"/>
    <n v="1698.75"/>
    <n v="1044.5"/>
    <n v="654.25"/>
    <x v="1"/>
  </r>
  <r>
    <s v="ORD01427"/>
    <d v="2025-06-16T00:00:00"/>
    <x v="0"/>
    <x v="2"/>
    <x v="2"/>
    <n v="39"/>
    <n v="12.4"/>
    <n v="483.6"/>
    <n v="337.23"/>
    <n v="146.37"/>
    <x v="0"/>
  </r>
  <r>
    <s v="ORD01428"/>
    <d v="2025-07-12T00:00:00"/>
    <x v="1"/>
    <x v="0"/>
    <x v="2"/>
    <n v="104"/>
    <n v="25.37"/>
    <n v="2638.48"/>
    <n v="1685.42"/>
    <n v="953.06"/>
    <x v="8"/>
  </r>
  <r>
    <s v="ORD01429"/>
    <d v="2025-11-21T00:00:00"/>
    <x v="5"/>
    <x v="2"/>
    <x v="1"/>
    <n v="80"/>
    <n v="10.96"/>
    <n v="876.8"/>
    <n v="540.49"/>
    <n v="336.31"/>
    <x v="3"/>
  </r>
  <r>
    <s v="ORD01430"/>
    <d v="2025-07-03T00:00:00"/>
    <x v="3"/>
    <x v="2"/>
    <x v="3"/>
    <n v="67"/>
    <n v="25.43"/>
    <n v="1703.81"/>
    <n v="1131.3499999999999"/>
    <n v="572.46"/>
    <x v="8"/>
  </r>
  <r>
    <s v="ORD01431"/>
    <d v="2025-01-20T00:00:00"/>
    <x v="3"/>
    <x v="2"/>
    <x v="3"/>
    <n v="225"/>
    <n v="30.76"/>
    <n v="6921"/>
    <n v="4915.6000000000004"/>
    <n v="2005.4"/>
    <x v="10"/>
  </r>
  <r>
    <s v="ORD01432"/>
    <d v="2025-06-27T00:00:00"/>
    <x v="5"/>
    <x v="1"/>
    <x v="3"/>
    <n v="32"/>
    <n v="18.53"/>
    <n v="592.96"/>
    <n v="377.96"/>
    <n v="215"/>
    <x v="0"/>
  </r>
  <r>
    <s v="ORD01433"/>
    <d v="2025-01-28T00:00:00"/>
    <x v="2"/>
    <x v="2"/>
    <x v="2"/>
    <n v="292"/>
    <n v="30.02"/>
    <n v="8765.84"/>
    <n v="6206.55"/>
    <n v="2559.29"/>
    <x v="10"/>
  </r>
  <r>
    <s v="ORD01434"/>
    <d v="2025-10-17T00:00:00"/>
    <x v="2"/>
    <x v="0"/>
    <x v="5"/>
    <n v="268"/>
    <n v="10.51"/>
    <n v="2816.68"/>
    <n v="1702.31"/>
    <n v="1114.3699999999999"/>
    <x v="1"/>
  </r>
  <r>
    <s v="ORD01435"/>
    <d v="2025-11-10T00:00:00"/>
    <x v="0"/>
    <x v="0"/>
    <x v="4"/>
    <n v="67"/>
    <n v="39.729999999999997"/>
    <n v="2661.91"/>
    <n v="1948.57"/>
    <n v="713.34"/>
    <x v="3"/>
  </r>
  <r>
    <s v="ORD01436"/>
    <d v="2025-07-29T00:00:00"/>
    <x v="2"/>
    <x v="1"/>
    <x v="4"/>
    <n v="260"/>
    <n v="36.090000000000003"/>
    <n v="9383.4"/>
    <n v="7472.91"/>
    <n v="1910.49"/>
    <x v="8"/>
  </r>
  <r>
    <s v="ORD01437"/>
    <d v="2025-04-21T00:00:00"/>
    <x v="0"/>
    <x v="1"/>
    <x v="2"/>
    <n v="72"/>
    <n v="22.18"/>
    <n v="1596.96"/>
    <n v="982.17"/>
    <n v="614.79"/>
    <x v="7"/>
  </r>
  <r>
    <s v="ORD01438"/>
    <d v="2025-01-22T00:00:00"/>
    <x v="0"/>
    <x v="0"/>
    <x v="5"/>
    <n v="243"/>
    <n v="15.21"/>
    <n v="3696.03"/>
    <n v="2727.55"/>
    <n v="968.48"/>
    <x v="10"/>
  </r>
  <r>
    <s v="ORD01439"/>
    <d v="2025-08-07T00:00:00"/>
    <x v="4"/>
    <x v="2"/>
    <x v="3"/>
    <n v="161"/>
    <n v="24.06"/>
    <n v="3873.66"/>
    <n v="2358.08"/>
    <n v="1515.58"/>
    <x v="6"/>
  </r>
  <r>
    <s v="ORD01440"/>
    <d v="2025-10-12T00:00:00"/>
    <x v="1"/>
    <x v="0"/>
    <x v="0"/>
    <n v="132"/>
    <n v="17.850000000000001"/>
    <n v="2356.1999999999998"/>
    <n v="1841.55"/>
    <n v="514.65"/>
    <x v="1"/>
  </r>
  <r>
    <s v="ORD01441"/>
    <d v="2025-09-29T00:00:00"/>
    <x v="0"/>
    <x v="1"/>
    <x v="1"/>
    <n v="17"/>
    <n v="30.37"/>
    <n v="516.29"/>
    <n v="396.49"/>
    <n v="119.8"/>
    <x v="9"/>
  </r>
  <r>
    <s v="ORD01442"/>
    <d v="2025-05-30T00:00:00"/>
    <x v="2"/>
    <x v="0"/>
    <x v="4"/>
    <n v="231"/>
    <n v="29.64"/>
    <n v="6846.84"/>
    <n v="4847"/>
    <n v="1999.84"/>
    <x v="11"/>
  </r>
  <r>
    <s v="ORD01443"/>
    <d v="2025-05-04T00:00:00"/>
    <x v="2"/>
    <x v="0"/>
    <x v="4"/>
    <n v="247"/>
    <n v="28.16"/>
    <n v="6955.52"/>
    <n v="4910.8900000000003"/>
    <n v="2044.63"/>
    <x v="11"/>
  </r>
  <r>
    <s v="ORD01444"/>
    <d v="2025-10-30T00:00:00"/>
    <x v="5"/>
    <x v="1"/>
    <x v="3"/>
    <n v="125"/>
    <n v="12.77"/>
    <n v="1596.25"/>
    <n v="1077.17"/>
    <n v="519.08000000000004"/>
    <x v="1"/>
  </r>
  <r>
    <s v="ORD01445"/>
    <d v="2025-01-14T00:00:00"/>
    <x v="1"/>
    <x v="2"/>
    <x v="1"/>
    <n v="293"/>
    <n v="20.8"/>
    <n v="6094.4"/>
    <n v="4550.91"/>
    <n v="1543.49"/>
    <x v="10"/>
  </r>
  <r>
    <s v="ORD01446"/>
    <d v="2025-08-25T00:00:00"/>
    <x v="1"/>
    <x v="2"/>
    <x v="1"/>
    <n v="105"/>
    <n v="22.35"/>
    <n v="2346.75"/>
    <n v="1731.9"/>
    <n v="614.85"/>
    <x v="6"/>
  </r>
  <r>
    <s v="ORD01447"/>
    <d v="2025-11-18T00:00:00"/>
    <x v="1"/>
    <x v="2"/>
    <x v="4"/>
    <n v="57"/>
    <n v="26.29"/>
    <n v="1498.53"/>
    <n v="1005.05"/>
    <n v="493.48"/>
    <x v="3"/>
  </r>
  <r>
    <s v="ORD01448"/>
    <d v="2025-09-27T00:00:00"/>
    <x v="0"/>
    <x v="0"/>
    <x v="0"/>
    <n v="286"/>
    <n v="32.630000000000003"/>
    <n v="9332.18"/>
    <n v="6893.35"/>
    <n v="2438.83"/>
    <x v="9"/>
  </r>
  <r>
    <s v="ORD01449"/>
    <d v="2025-08-28T00:00:00"/>
    <x v="2"/>
    <x v="0"/>
    <x v="0"/>
    <n v="113"/>
    <n v="24.4"/>
    <n v="2757.2"/>
    <n v="2127.62"/>
    <n v="629.58000000000004"/>
    <x v="6"/>
  </r>
  <r>
    <s v="ORD01450"/>
    <d v="2025-11-09T00:00:00"/>
    <x v="3"/>
    <x v="1"/>
    <x v="1"/>
    <n v="273"/>
    <n v="39.380000000000003"/>
    <n v="10750.74"/>
    <n v="6970.11"/>
    <n v="3780.63"/>
    <x v="3"/>
  </r>
  <r>
    <s v="ORD01451"/>
    <d v="2025-07-20T00:00:00"/>
    <x v="3"/>
    <x v="1"/>
    <x v="5"/>
    <n v="16"/>
    <n v="22.59"/>
    <n v="361.44"/>
    <n v="233.03"/>
    <n v="128.41"/>
    <x v="8"/>
  </r>
  <r>
    <s v="ORD01452"/>
    <d v="2025-08-29T00:00:00"/>
    <x v="1"/>
    <x v="0"/>
    <x v="0"/>
    <n v="195"/>
    <n v="35.729999999999997"/>
    <n v="6967.35"/>
    <n v="5224.3900000000003"/>
    <n v="1742.96"/>
    <x v="6"/>
  </r>
  <r>
    <s v="ORD01453"/>
    <d v="2025-05-28T00:00:00"/>
    <x v="1"/>
    <x v="0"/>
    <x v="2"/>
    <n v="289"/>
    <n v="18.670000000000002"/>
    <n v="5395.63"/>
    <n v="3416.51"/>
    <n v="1979.12"/>
    <x v="11"/>
  </r>
  <r>
    <s v="ORD01454"/>
    <d v="2025-07-02T00:00:00"/>
    <x v="2"/>
    <x v="0"/>
    <x v="5"/>
    <n v="88"/>
    <n v="37.78"/>
    <n v="3324.64"/>
    <n v="2054.88"/>
    <n v="1269.76"/>
    <x v="8"/>
  </r>
  <r>
    <s v="ORD01455"/>
    <d v="2025-05-20T00:00:00"/>
    <x v="2"/>
    <x v="1"/>
    <x v="3"/>
    <n v="271"/>
    <n v="19.72"/>
    <n v="5344.12"/>
    <n v="3916.29"/>
    <n v="1427.83"/>
    <x v="11"/>
  </r>
  <r>
    <s v="ORD01456"/>
    <d v="2025-04-30T00:00:00"/>
    <x v="5"/>
    <x v="2"/>
    <x v="4"/>
    <n v="66"/>
    <n v="13.38"/>
    <n v="883.08"/>
    <n v="621.67999999999995"/>
    <n v="261.39999999999998"/>
    <x v="7"/>
  </r>
  <r>
    <s v="ORD01457"/>
    <d v="2025-10-08T00:00:00"/>
    <x v="0"/>
    <x v="0"/>
    <x v="3"/>
    <n v="238"/>
    <n v="19.28"/>
    <n v="4588.6400000000003"/>
    <n v="3436.62"/>
    <n v="1152.02"/>
    <x v="1"/>
  </r>
  <r>
    <s v="ORD01458"/>
    <d v="2025-09-28T00:00:00"/>
    <x v="5"/>
    <x v="0"/>
    <x v="4"/>
    <n v="103"/>
    <n v="22.36"/>
    <n v="2303.08"/>
    <n v="1421.09"/>
    <n v="881.99"/>
    <x v="9"/>
  </r>
  <r>
    <s v="ORD01459"/>
    <d v="2025-09-29T00:00:00"/>
    <x v="0"/>
    <x v="2"/>
    <x v="5"/>
    <n v="223"/>
    <n v="11.14"/>
    <n v="2484.2199999999998"/>
    <n v="1976.83"/>
    <n v="507.39"/>
    <x v="9"/>
  </r>
  <r>
    <s v="ORD01460"/>
    <d v="2025-01-11T00:00:00"/>
    <x v="3"/>
    <x v="1"/>
    <x v="1"/>
    <n v="280"/>
    <n v="18.329999999999998"/>
    <n v="5132.3999999999996"/>
    <n v="3714.54"/>
    <n v="1417.86"/>
    <x v="10"/>
  </r>
  <r>
    <s v="ORD01461"/>
    <d v="2025-02-08T00:00:00"/>
    <x v="3"/>
    <x v="0"/>
    <x v="4"/>
    <n v="281"/>
    <n v="31.25"/>
    <n v="8781.25"/>
    <n v="5535.48"/>
    <n v="3245.77"/>
    <x v="2"/>
  </r>
  <r>
    <s v="ORD01462"/>
    <d v="2025-06-10T00:00:00"/>
    <x v="2"/>
    <x v="0"/>
    <x v="4"/>
    <n v="197"/>
    <n v="37.380000000000003"/>
    <n v="7363.86"/>
    <n v="5243.42"/>
    <n v="2120.44"/>
    <x v="0"/>
  </r>
  <r>
    <s v="ORD01463"/>
    <d v="2025-01-18T00:00:00"/>
    <x v="1"/>
    <x v="2"/>
    <x v="4"/>
    <n v="38"/>
    <n v="14.84"/>
    <n v="563.91999999999996"/>
    <n v="423.18"/>
    <n v="140.74"/>
    <x v="10"/>
  </r>
  <r>
    <s v="ORD01464"/>
    <d v="2025-04-19T00:00:00"/>
    <x v="2"/>
    <x v="1"/>
    <x v="1"/>
    <n v="193"/>
    <n v="19.41"/>
    <n v="3746.13"/>
    <n v="2626.3"/>
    <n v="1119.83"/>
    <x v="7"/>
  </r>
  <r>
    <s v="ORD01465"/>
    <d v="2025-02-27T00:00:00"/>
    <x v="1"/>
    <x v="0"/>
    <x v="1"/>
    <n v="262"/>
    <n v="33.4"/>
    <n v="8750.7999999999993"/>
    <n v="6145.08"/>
    <n v="2605.7199999999998"/>
    <x v="2"/>
  </r>
  <r>
    <s v="ORD01466"/>
    <d v="2025-02-03T00:00:00"/>
    <x v="2"/>
    <x v="0"/>
    <x v="0"/>
    <n v="130"/>
    <n v="26.95"/>
    <n v="3503.5"/>
    <n v="2471.29"/>
    <n v="1032.21"/>
    <x v="2"/>
  </r>
  <r>
    <s v="ORD01467"/>
    <d v="2025-03-05T00:00:00"/>
    <x v="1"/>
    <x v="1"/>
    <x v="4"/>
    <n v="122"/>
    <n v="31.63"/>
    <n v="3858.86"/>
    <n v="2573.09"/>
    <n v="1285.77"/>
    <x v="4"/>
  </r>
  <r>
    <s v="ORD01468"/>
    <d v="2025-07-08T00:00:00"/>
    <x v="0"/>
    <x v="1"/>
    <x v="5"/>
    <n v="195"/>
    <n v="12.62"/>
    <n v="2460.9"/>
    <n v="1893.49"/>
    <n v="567.41"/>
    <x v="8"/>
  </r>
  <r>
    <s v="ORD01469"/>
    <d v="2025-05-03T00:00:00"/>
    <x v="4"/>
    <x v="0"/>
    <x v="2"/>
    <n v="217"/>
    <n v="27.78"/>
    <n v="6028.26"/>
    <n v="4769.34"/>
    <n v="1258.92"/>
    <x v="11"/>
  </r>
  <r>
    <s v="ORD01470"/>
    <d v="2025-06-03T00:00:00"/>
    <x v="4"/>
    <x v="2"/>
    <x v="4"/>
    <n v="18"/>
    <n v="14.48"/>
    <n v="260.64"/>
    <n v="198.87"/>
    <n v="61.77"/>
    <x v="0"/>
  </r>
  <r>
    <s v="ORD01471"/>
    <d v="2025-06-18T00:00:00"/>
    <x v="5"/>
    <x v="0"/>
    <x v="3"/>
    <n v="13"/>
    <n v="24.31"/>
    <n v="316.02999999999997"/>
    <n v="219.76"/>
    <n v="96.27"/>
    <x v="0"/>
  </r>
  <r>
    <s v="ORD01472"/>
    <d v="2025-03-21T00:00:00"/>
    <x v="3"/>
    <x v="0"/>
    <x v="2"/>
    <n v="142"/>
    <n v="37.32"/>
    <n v="5299.44"/>
    <n v="3921.45"/>
    <n v="1377.99"/>
    <x v="4"/>
  </r>
  <r>
    <s v="ORD01473"/>
    <d v="2025-04-29T00:00:00"/>
    <x v="1"/>
    <x v="2"/>
    <x v="0"/>
    <n v="248"/>
    <n v="36.840000000000003"/>
    <n v="9136.32"/>
    <n v="6146.13"/>
    <n v="2990.19"/>
    <x v="7"/>
  </r>
  <r>
    <s v="ORD01474"/>
    <d v="2025-05-17T00:00:00"/>
    <x v="5"/>
    <x v="2"/>
    <x v="4"/>
    <n v="293"/>
    <n v="32.6"/>
    <n v="9551.7999999999993"/>
    <n v="7585.51"/>
    <n v="1966.29"/>
    <x v="11"/>
  </r>
  <r>
    <s v="ORD01475"/>
    <d v="2025-12-27T00:00:00"/>
    <x v="4"/>
    <x v="2"/>
    <x v="3"/>
    <n v="275"/>
    <n v="38.82"/>
    <n v="10675.5"/>
    <n v="7409"/>
    <n v="3266.5"/>
    <x v="5"/>
  </r>
  <r>
    <s v="ORD01476"/>
    <d v="2025-11-15T00:00:00"/>
    <x v="2"/>
    <x v="1"/>
    <x v="0"/>
    <n v="238"/>
    <n v="12.18"/>
    <n v="2898.84"/>
    <n v="2213.9899999999998"/>
    <n v="684.85"/>
    <x v="3"/>
  </r>
  <r>
    <s v="ORD01477"/>
    <d v="2025-12-31T00:00:00"/>
    <x v="1"/>
    <x v="1"/>
    <x v="2"/>
    <n v="66"/>
    <n v="35.81"/>
    <n v="2363.46"/>
    <n v="1834.96"/>
    <n v="528.5"/>
    <x v="5"/>
  </r>
  <r>
    <s v="ORD01478"/>
    <d v="2025-01-17T00:00:00"/>
    <x v="4"/>
    <x v="2"/>
    <x v="2"/>
    <n v="286"/>
    <n v="30.6"/>
    <n v="8751.6"/>
    <n v="6066"/>
    <n v="2685.6"/>
    <x v="10"/>
  </r>
  <r>
    <s v="ORD01479"/>
    <d v="2025-09-27T00:00:00"/>
    <x v="0"/>
    <x v="0"/>
    <x v="0"/>
    <n v="214"/>
    <n v="28.54"/>
    <n v="6107.56"/>
    <n v="4297.04"/>
    <n v="1810.52"/>
    <x v="9"/>
  </r>
  <r>
    <s v="ORD01480"/>
    <d v="2025-09-11T00:00:00"/>
    <x v="5"/>
    <x v="0"/>
    <x v="3"/>
    <n v="91"/>
    <n v="35.380000000000003"/>
    <n v="3219.58"/>
    <n v="2380.81"/>
    <n v="838.77"/>
    <x v="9"/>
  </r>
  <r>
    <s v="ORD01481"/>
    <d v="2025-11-23T00:00:00"/>
    <x v="3"/>
    <x v="1"/>
    <x v="1"/>
    <n v="102"/>
    <n v="29.99"/>
    <n v="3058.98"/>
    <n v="1839.87"/>
    <n v="1219.1099999999999"/>
    <x v="3"/>
  </r>
  <r>
    <s v="ORD01482"/>
    <d v="2025-04-16T00:00:00"/>
    <x v="4"/>
    <x v="1"/>
    <x v="2"/>
    <n v="189"/>
    <n v="24.02"/>
    <n v="4539.78"/>
    <n v="2794.25"/>
    <n v="1745.53"/>
    <x v="7"/>
  </r>
  <r>
    <s v="ORD01483"/>
    <d v="2025-01-17T00:00:00"/>
    <x v="2"/>
    <x v="1"/>
    <x v="3"/>
    <n v="162"/>
    <n v="33.96"/>
    <n v="5501.52"/>
    <n v="4178.9399999999996"/>
    <n v="1322.58"/>
    <x v="10"/>
  </r>
  <r>
    <s v="ORD01484"/>
    <d v="2025-08-11T00:00:00"/>
    <x v="0"/>
    <x v="1"/>
    <x v="5"/>
    <n v="200"/>
    <n v="25.9"/>
    <n v="5180"/>
    <n v="3796.94"/>
    <n v="1383.06"/>
    <x v="6"/>
  </r>
  <r>
    <s v="ORD01485"/>
    <d v="2025-01-06T00:00:00"/>
    <x v="3"/>
    <x v="0"/>
    <x v="4"/>
    <n v="66"/>
    <n v="12.62"/>
    <n v="832.92"/>
    <n v="620.49"/>
    <n v="212.43"/>
    <x v="10"/>
  </r>
  <r>
    <s v="ORD01486"/>
    <d v="2025-05-08T00:00:00"/>
    <x v="2"/>
    <x v="2"/>
    <x v="5"/>
    <n v="296"/>
    <n v="38.729999999999997"/>
    <n v="11464.08"/>
    <n v="8433.75"/>
    <n v="3030.33"/>
    <x v="11"/>
  </r>
  <r>
    <s v="ORD01487"/>
    <d v="2025-06-12T00:00:00"/>
    <x v="1"/>
    <x v="0"/>
    <x v="3"/>
    <n v="279"/>
    <n v="37.07"/>
    <n v="10342.530000000001"/>
    <n v="7707.87"/>
    <n v="2634.66"/>
    <x v="0"/>
  </r>
  <r>
    <s v="ORD01488"/>
    <d v="2025-05-06T00:00:00"/>
    <x v="5"/>
    <x v="1"/>
    <x v="3"/>
    <n v="184"/>
    <n v="16.84"/>
    <n v="3098.56"/>
    <n v="2394.63"/>
    <n v="703.93"/>
    <x v="11"/>
  </r>
  <r>
    <s v="ORD01489"/>
    <d v="2025-04-01T00:00:00"/>
    <x v="1"/>
    <x v="0"/>
    <x v="3"/>
    <n v="78"/>
    <n v="12.76"/>
    <n v="995.28"/>
    <n v="779.43"/>
    <n v="215.85"/>
    <x v="7"/>
  </r>
  <r>
    <s v="ORD01490"/>
    <d v="2025-01-23T00:00:00"/>
    <x v="5"/>
    <x v="0"/>
    <x v="0"/>
    <n v="69"/>
    <n v="23.5"/>
    <n v="1621.5"/>
    <n v="1016.31"/>
    <n v="605.19000000000005"/>
    <x v="10"/>
  </r>
  <r>
    <s v="ORD01491"/>
    <d v="2025-06-11T00:00:00"/>
    <x v="0"/>
    <x v="1"/>
    <x v="3"/>
    <n v="287"/>
    <n v="27.27"/>
    <n v="7826.49"/>
    <n v="4777.6499999999996"/>
    <n v="3048.84"/>
    <x v="0"/>
  </r>
  <r>
    <s v="ORD01492"/>
    <d v="2025-11-05T00:00:00"/>
    <x v="5"/>
    <x v="1"/>
    <x v="0"/>
    <n v="142"/>
    <n v="18.78"/>
    <n v="2666.76"/>
    <n v="2133"/>
    <n v="533.76"/>
    <x v="3"/>
  </r>
  <r>
    <s v="ORD01493"/>
    <d v="2025-11-30T00:00:00"/>
    <x v="5"/>
    <x v="2"/>
    <x v="3"/>
    <n v="71"/>
    <n v="15.46"/>
    <n v="1097.6600000000001"/>
    <n v="876"/>
    <n v="221.66"/>
    <x v="3"/>
  </r>
  <r>
    <s v="ORD01494"/>
    <d v="2025-02-24T00:00:00"/>
    <x v="4"/>
    <x v="2"/>
    <x v="4"/>
    <n v="157"/>
    <n v="27.94"/>
    <n v="4386.58"/>
    <n v="3321.4"/>
    <n v="1065.18"/>
    <x v="2"/>
  </r>
  <r>
    <s v="ORD01495"/>
    <d v="2025-02-24T00:00:00"/>
    <x v="3"/>
    <x v="1"/>
    <x v="1"/>
    <n v="254"/>
    <n v="36.409999999999997"/>
    <n v="9248.14"/>
    <n v="6607.83"/>
    <n v="2640.31"/>
    <x v="2"/>
  </r>
  <r>
    <s v="ORD01496"/>
    <d v="2025-03-09T00:00:00"/>
    <x v="3"/>
    <x v="1"/>
    <x v="0"/>
    <n v="285"/>
    <n v="34.35"/>
    <n v="9789.75"/>
    <n v="7214.22"/>
    <n v="2575.5300000000002"/>
    <x v="4"/>
  </r>
  <r>
    <s v="ORD01497"/>
    <d v="2025-05-21T00:00:00"/>
    <x v="1"/>
    <x v="0"/>
    <x v="2"/>
    <n v="104"/>
    <n v="29.09"/>
    <n v="3025.36"/>
    <n v="2141.54"/>
    <n v="883.82"/>
    <x v="11"/>
  </r>
  <r>
    <s v="ORD01498"/>
    <d v="2025-12-27T00:00:00"/>
    <x v="0"/>
    <x v="1"/>
    <x v="0"/>
    <n v="194"/>
    <n v="10.49"/>
    <n v="2035.06"/>
    <n v="1567.05"/>
    <n v="468.01"/>
    <x v="5"/>
  </r>
  <r>
    <s v="ORD01499"/>
    <d v="2025-06-05T00:00:00"/>
    <x v="0"/>
    <x v="0"/>
    <x v="3"/>
    <n v="265"/>
    <n v="12"/>
    <n v="3180"/>
    <n v="2066.7800000000002"/>
    <n v="1113.22"/>
    <x v="0"/>
  </r>
  <r>
    <s v="ORD01500"/>
    <d v="2025-05-10T00:00:00"/>
    <x v="1"/>
    <x v="2"/>
    <x v="0"/>
    <n v="252"/>
    <n v="26.93"/>
    <n v="6786.36"/>
    <n v="5106.63"/>
    <n v="1679.73"/>
    <x v="11"/>
  </r>
  <r>
    <s v="ORD01501"/>
    <d v="2025-02-16T00:00:00"/>
    <x v="0"/>
    <x v="0"/>
    <x v="3"/>
    <n v="80"/>
    <n v="13.67"/>
    <n v="1093.5999999999999"/>
    <n v="678.72"/>
    <n v="414.88"/>
    <x v="2"/>
  </r>
  <r>
    <s v="ORD01502"/>
    <d v="2025-09-10T00:00:00"/>
    <x v="3"/>
    <x v="0"/>
    <x v="1"/>
    <n v="131"/>
    <n v="29.53"/>
    <n v="3868.43"/>
    <n v="2553.04"/>
    <n v="1315.39"/>
    <x v="9"/>
  </r>
  <r>
    <s v="ORD01503"/>
    <d v="2025-01-24T00:00:00"/>
    <x v="5"/>
    <x v="0"/>
    <x v="3"/>
    <n v="71"/>
    <n v="38.64"/>
    <n v="2743.44"/>
    <n v="1767.5"/>
    <n v="975.94"/>
    <x v="10"/>
  </r>
  <r>
    <s v="ORD01504"/>
    <d v="2025-02-18T00:00:00"/>
    <x v="5"/>
    <x v="1"/>
    <x v="5"/>
    <n v="227"/>
    <n v="29.39"/>
    <n v="6671.53"/>
    <n v="4197.7299999999996"/>
    <n v="2473.8000000000002"/>
    <x v="2"/>
  </r>
  <r>
    <s v="ORD01505"/>
    <d v="2025-09-06T00:00:00"/>
    <x v="3"/>
    <x v="2"/>
    <x v="5"/>
    <n v="128"/>
    <n v="21.99"/>
    <n v="2814.72"/>
    <n v="2232.3000000000002"/>
    <n v="582.41999999999996"/>
    <x v="9"/>
  </r>
  <r>
    <s v="ORD01506"/>
    <d v="2025-12-20T00:00:00"/>
    <x v="0"/>
    <x v="0"/>
    <x v="3"/>
    <n v="98"/>
    <n v="11.83"/>
    <n v="1159.3399999999999"/>
    <n v="901.06"/>
    <n v="258.27999999999997"/>
    <x v="5"/>
  </r>
  <r>
    <s v="ORD01507"/>
    <d v="2025-11-02T00:00:00"/>
    <x v="4"/>
    <x v="1"/>
    <x v="2"/>
    <n v="262"/>
    <n v="32.270000000000003"/>
    <n v="8454.74"/>
    <n v="6005.64"/>
    <n v="2449.1"/>
    <x v="3"/>
  </r>
  <r>
    <s v="ORD01508"/>
    <d v="2025-09-22T00:00:00"/>
    <x v="5"/>
    <x v="2"/>
    <x v="2"/>
    <n v="119"/>
    <n v="23.73"/>
    <n v="2823.87"/>
    <n v="1915.37"/>
    <n v="908.5"/>
    <x v="9"/>
  </r>
  <r>
    <s v="ORD01509"/>
    <d v="2025-04-18T00:00:00"/>
    <x v="0"/>
    <x v="0"/>
    <x v="1"/>
    <n v="280"/>
    <n v="25.25"/>
    <n v="7070"/>
    <n v="5066.92"/>
    <n v="2003.08"/>
    <x v="7"/>
  </r>
  <r>
    <s v="ORD01510"/>
    <d v="2025-09-18T00:00:00"/>
    <x v="1"/>
    <x v="2"/>
    <x v="1"/>
    <n v="244"/>
    <n v="36.43"/>
    <n v="8888.92"/>
    <n v="6250.11"/>
    <n v="2638.81"/>
    <x v="9"/>
  </r>
  <r>
    <s v="ORD01511"/>
    <d v="2025-03-03T00:00:00"/>
    <x v="2"/>
    <x v="1"/>
    <x v="0"/>
    <n v="142"/>
    <n v="22.31"/>
    <n v="3168.02"/>
    <n v="2082.2199999999998"/>
    <n v="1085.8"/>
    <x v="4"/>
  </r>
  <r>
    <s v="ORD01512"/>
    <d v="2025-08-26T00:00:00"/>
    <x v="5"/>
    <x v="2"/>
    <x v="0"/>
    <n v="135"/>
    <n v="32.020000000000003"/>
    <n v="4322.7"/>
    <n v="2914.52"/>
    <n v="1408.18"/>
    <x v="6"/>
  </r>
  <r>
    <s v="ORD01513"/>
    <d v="2025-03-23T00:00:00"/>
    <x v="1"/>
    <x v="1"/>
    <x v="5"/>
    <n v="159"/>
    <n v="38.76"/>
    <n v="6162.84"/>
    <n v="4160.3500000000004"/>
    <n v="2002.49"/>
    <x v="4"/>
  </r>
  <r>
    <s v="ORD01514"/>
    <d v="2025-03-15T00:00:00"/>
    <x v="4"/>
    <x v="1"/>
    <x v="1"/>
    <n v="252"/>
    <n v="34.19"/>
    <n v="8615.8799999999992"/>
    <n v="5885.55"/>
    <n v="2730.33"/>
    <x v="4"/>
  </r>
  <r>
    <s v="ORD01515"/>
    <d v="2025-08-01T00:00:00"/>
    <x v="2"/>
    <x v="1"/>
    <x v="2"/>
    <n v="210"/>
    <n v="37.5"/>
    <n v="7875"/>
    <n v="5932.03"/>
    <n v="1942.97"/>
    <x v="6"/>
  </r>
  <r>
    <s v="ORD01516"/>
    <d v="2025-01-04T00:00:00"/>
    <x v="2"/>
    <x v="2"/>
    <x v="1"/>
    <n v="38"/>
    <n v="16.02"/>
    <n v="608.76"/>
    <n v="406.68"/>
    <n v="202.08"/>
    <x v="10"/>
  </r>
  <r>
    <s v="ORD01517"/>
    <d v="2025-09-10T00:00:00"/>
    <x v="2"/>
    <x v="0"/>
    <x v="0"/>
    <n v="77"/>
    <n v="31.39"/>
    <n v="2417.0300000000002"/>
    <n v="1768.33"/>
    <n v="648.70000000000005"/>
    <x v="9"/>
  </r>
  <r>
    <s v="ORD01518"/>
    <d v="2025-12-18T00:00:00"/>
    <x v="2"/>
    <x v="2"/>
    <x v="0"/>
    <n v="13"/>
    <n v="19.84"/>
    <n v="257.92"/>
    <n v="155.97999999999999"/>
    <n v="101.94"/>
    <x v="5"/>
  </r>
  <r>
    <s v="ORD01519"/>
    <d v="2025-05-16T00:00:00"/>
    <x v="5"/>
    <x v="0"/>
    <x v="3"/>
    <n v="137"/>
    <n v="30.89"/>
    <n v="4231.93"/>
    <n v="2663.04"/>
    <n v="1568.89"/>
    <x v="11"/>
  </r>
  <r>
    <s v="ORD01520"/>
    <d v="2025-04-28T00:00:00"/>
    <x v="5"/>
    <x v="2"/>
    <x v="2"/>
    <n v="36"/>
    <n v="12.43"/>
    <n v="447.48"/>
    <n v="345.97"/>
    <n v="101.51"/>
    <x v="7"/>
  </r>
  <r>
    <s v="ORD01521"/>
    <d v="2025-11-13T00:00:00"/>
    <x v="5"/>
    <x v="0"/>
    <x v="2"/>
    <n v="49"/>
    <n v="33.119999999999997"/>
    <n v="1622.88"/>
    <n v="1047.74"/>
    <n v="575.14"/>
    <x v="3"/>
  </r>
  <r>
    <s v="ORD01522"/>
    <d v="2025-05-08T00:00:00"/>
    <x v="5"/>
    <x v="0"/>
    <x v="2"/>
    <n v="133"/>
    <n v="12.22"/>
    <n v="1625.26"/>
    <n v="1251.22"/>
    <n v="374.04"/>
    <x v="11"/>
  </r>
  <r>
    <s v="ORD01523"/>
    <d v="2025-04-07T00:00:00"/>
    <x v="1"/>
    <x v="1"/>
    <x v="2"/>
    <n v="99"/>
    <n v="11.14"/>
    <n v="1102.8599999999999"/>
    <n v="880.34"/>
    <n v="222.52"/>
    <x v="7"/>
  </r>
  <r>
    <s v="ORD01524"/>
    <d v="2025-02-04T00:00:00"/>
    <x v="0"/>
    <x v="1"/>
    <x v="4"/>
    <n v="91"/>
    <n v="29.96"/>
    <n v="2726.36"/>
    <n v="1683.02"/>
    <n v="1043.3399999999999"/>
    <x v="2"/>
  </r>
  <r>
    <s v="ORD01525"/>
    <d v="2025-01-01T00:00:00"/>
    <x v="5"/>
    <x v="0"/>
    <x v="4"/>
    <n v="288"/>
    <n v="18.61"/>
    <n v="5359.68"/>
    <n v="4168.42"/>
    <n v="1191.26"/>
    <x v="10"/>
  </r>
  <r>
    <s v="ORD01526"/>
    <d v="2025-02-20T00:00:00"/>
    <x v="2"/>
    <x v="1"/>
    <x v="0"/>
    <n v="291"/>
    <n v="31.7"/>
    <n v="9224.7000000000007"/>
    <n v="6470.24"/>
    <n v="2754.46"/>
    <x v="2"/>
  </r>
  <r>
    <s v="ORD01527"/>
    <d v="2025-12-19T00:00:00"/>
    <x v="1"/>
    <x v="0"/>
    <x v="2"/>
    <n v="118"/>
    <n v="34.08"/>
    <n v="4021.44"/>
    <n v="2978.31"/>
    <n v="1043.1300000000001"/>
    <x v="5"/>
  </r>
  <r>
    <s v="ORD01528"/>
    <d v="2025-01-20T00:00:00"/>
    <x v="0"/>
    <x v="2"/>
    <x v="5"/>
    <n v="248"/>
    <n v="31.9"/>
    <n v="7911.2"/>
    <n v="4997.79"/>
    <n v="2913.41"/>
    <x v="10"/>
  </r>
  <r>
    <s v="ORD01529"/>
    <d v="2025-01-13T00:00:00"/>
    <x v="4"/>
    <x v="2"/>
    <x v="1"/>
    <n v="111"/>
    <n v="17.61"/>
    <n v="1954.71"/>
    <n v="1358.3"/>
    <n v="596.41"/>
    <x v="10"/>
  </r>
  <r>
    <s v="ORD01530"/>
    <d v="2025-01-05T00:00:00"/>
    <x v="4"/>
    <x v="2"/>
    <x v="2"/>
    <n v="93"/>
    <n v="35.15"/>
    <n v="3268.95"/>
    <n v="2548.0500000000002"/>
    <n v="720.9"/>
    <x v="10"/>
  </r>
  <r>
    <s v="ORD01531"/>
    <d v="2025-11-30T00:00:00"/>
    <x v="0"/>
    <x v="1"/>
    <x v="1"/>
    <n v="223"/>
    <n v="37.770000000000003"/>
    <n v="8422.7099999999991"/>
    <n v="6147.94"/>
    <n v="2274.77"/>
    <x v="3"/>
  </r>
  <r>
    <s v="ORD01532"/>
    <d v="2025-01-17T00:00:00"/>
    <x v="4"/>
    <x v="1"/>
    <x v="4"/>
    <n v="106"/>
    <n v="26.42"/>
    <n v="2800.52"/>
    <n v="1912.13"/>
    <n v="888.39"/>
    <x v="10"/>
  </r>
  <r>
    <s v="ORD01533"/>
    <d v="2025-04-24T00:00:00"/>
    <x v="5"/>
    <x v="1"/>
    <x v="2"/>
    <n v="169"/>
    <n v="33.94"/>
    <n v="5735.86"/>
    <n v="3688.75"/>
    <n v="2047.11"/>
    <x v="7"/>
  </r>
  <r>
    <s v="ORD01534"/>
    <d v="2025-09-21T00:00:00"/>
    <x v="1"/>
    <x v="1"/>
    <x v="1"/>
    <n v="74"/>
    <n v="12.57"/>
    <n v="930.18"/>
    <n v="598.4"/>
    <n v="331.78"/>
    <x v="9"/>
  </r>
  <r>
    <s v="ORD01535"/>
    <d v="2025-03-27T00:00:00"/>
    <x v="1"/>
    <x v="0"/>
    <x v="3"/>
    <n v="264"/>
    <n v="29.59"/>
    <n v="7811.76"/>
    <n v="5227.6000000000004"/>
    <n v="2584.16"/>
    <x v="4"/>
  </r>
  <r>
    <s v="ORD01536"/>
    <d v="2025-04-04T00:00:00"/>
    <x v="2"/>
    <x v="2"/>
    <x v="3"/>
    <n v="217"/>
    <n v="35.380000000000003"/>
    <n v="7677.46"/>
    <n v="5073.47"/>
    <n v="2603.9899999999998"/>
    <x v="7"/>
  </r>
  <r>
    <s v="ORD01537"/>
    <d v="2025-10-26T00:00:00"/>
    <x v="0"/>
    <x v="2"/>
    <x v="2"/>
    <n v="78"/>
    <n v="34.340000000000003"/>
    <n v="2678.52"/>
    <n v="1684.69"/>
    <n v="993.83"/>
    <x v="1"/>
  </r>
  <r>
    <s v="ORD01538"/>
    <d v="2025-04-08T00:00:00"/>
    <x v="5"/>
    <x v="2"/>
    <x v="0"/>
    <n v="56"/>
    <n v="17.96"/>
    <n v="1005.76"/>
    <n v="759.84"/>
    <n v="245.92"/>
    <x v="7"/>
  </r>
  <r>
    <s v="ORD01539"/>
    <d v="2025-09-07T00:00:00"/>
    <x v="1"/>
    <x v="1"/>
    <x v="4"/>
    <n v="165"/>
    <n v="29.22"/>
    <n v="4821.3"/>
    <n v="3769.9"/>
    <n v="1051.4000000000001"/>
    <x v="9"/>
  </r>
  <r>
    <s v="ORD01540"/>
    <d v="2025-01-07T00:00:00"/>
    <x v="3"/>
    <x v="2"/>
    <x v="5"/>
    <n v="172"/>
    <n v="26.03"/>
    <n v="4477.16"/>
    <n v="2752.65"/>
    <n v="1724.51"/>
    <x v="10"/>
  </r>
  <r>
    <s v="ORD01541"/>
    <d v="2025-02-12T00:00:00"/>
    <x v="1"/>
    <x v="2"/>
    <x v="3"/>
    <n v="49"/>
    <n v="36.950000000000003"/>
    <n v="1810.55"/>
    <n v="1300.6600000000001"/>
    <n v="509.89"/>
    <x v="2"/>
  </r>
  <r>
    <s v="ORD01542"/>
    <d v="2025-06-25T00:00:00"/>
    <x v="2"/>
    <x v="1"/>
    <x v="2"/>
    <n v="279"/>
    <n v="16.27"/>
    <n v="4539.33"/>
    <n v="2855.62"/>
    <n v="1683.71"/>
    <x v="0"/>
  </r>
  <r>
    <s v="ORD01543"/>
    <d v="2025-12-29T00:00:00"/>
    <x v="3"/>
    <x v="1"/>
    <x v="5"/>
    <n v="189"/>
    <n v="38.11"/>
    <n v="7202.79"/>
    <n v="5126.2299999999996"/>
    <n v="2076.56"/>
    <x v="5"/>
  </r>
  <r>
    <s v="ORD01544"/>
    <d v="2025-12-03T00:00:00"/>
    <x v="1"/>
    <x v="0"/>
    <x v="2"/>
    <n v="10"/>
    <n v="12.37"/>
    <n v="123.7"/>
    <n v="75.73"/>
    <n v="47.97"/>
    <x v="5"/>
  </r>
  <r>
    <s v="ORD01545"/>
    <d v="2025-02-28T00:00:00"/>
    <x v="2"/>
    <x v="0"/>
    <x v="3"/>
    <n v="163"/>
    <n v="27.23"/>
    <n v="4438.49"/>
    <n v="2950.5"/>
    <n v="1487.99"/>
    <x v="2"/>
  </r>
  <r>
    <s v="ORD01546"/>
    <d v="2025-02-26T00:00:00"/>
    <x v="1"/>
    <x v="2"/>
    <x v="1"/>
    <n v="108"/>
    <n v="30.3"/>
    <n v="3272.4"/>
    <n v="2228.36"/>
    <n v="1044.04"/>
    <x v="2"/>
  </r>
  <r>
    <s v="ORD01547"/>
    <d v="2025-07-10T00:00:00"/>
    <x v="0"/>
    <x v="2"/>
    <x v="3"/>
    <n v="34"/>
    <n v="28.08"/>
    <n v="954.72"/>
    <n v="587.80999999999995"/>
    <n v="366.91"/>
    <x v="8"/>
  </r>
  <r>
    <s v="ORD01548"/>
    <d v="2025-01-14T00:00:00"/>
    <x v="4"/>
    <x v="1"/>
    <x v="5"/>
    <n v="211"/>
    <n v="13.36"/>
    <n v="2818.96"/>
    <n v="1995.59"/>
    <n v="823.37"/>
    <x v="10"/>
  </r>
  <r>
    <s v="ORD01549"/>
    <d v="2025-01-13T00:00:00"/>
    <x v="0"/>
    <x v="2"/>
    <x v="1"/>
    <n v="249"/>
    <n v="17.7"/>
    <n v="4407.3"/>
    <n v="3029.27"/>
    <n v="1378.03"/>
    <x v="10"/>
  </r>
  <r>
    <s v="ORD01550"/>
    <d v="2025-01-29T00:00:00"/>
    <x v="2"/>
    <x v="0"/>
    <x v="1"/>
    <n v="298"/>
    <n v="21.82"/>
    <n v="6502.36"/>
    <n v="4975.66"/>
    <n v="1526.7"/>
    <x v="10"/>
  </r>
  <r>
    <s v="ORD01551"/>
    <d v="2025-09-17T00:00:00"/>
    <x v="3"/>
    <x v="0"/>
    <x v="5"/>
    <n v="153"/>
    <n v="34.369999999999997"/>
    <n v="5258.61"/>
    <n v="3929.66"/>
    <n v="1328.95"/>
    <x v="9"/>
  </r>
  <r>
    <s v="ORD01552"/>
    <d v="2025-04-13T00:00:00"/>
    <x v="2"/>
    <x v="0"/>
    <x v="0"/>
    <n v="134"/>
    <n v="28.51"/>
    <n v="3820.34"/>
    <n v="2304.4"/>
    <n v="1515.94"/>
    <x v="7"/>
  </r>
  <r>
    <s v="ORD01553"/>
    <d v="2025-06-30T00:00:00"/>
    <x v="1"/>
    <x v="0"/>
    <x v="0"/>
    <n v="70"/>
    <n v="10.62"/>
    <n v="743.4"/>
    <n v="576.33000000000004"/>
    <n v="167.07"/>
    <x v="0"/>
  </r>
  <r>
    <s v="ORD01554"/>
    <d v="2025-11-11T00:00:00"/>
    <x v="1"/>
    <x v="0"/>
    <x v="2"/>
    <n v="44"/>
    <n v="38.229999999999997"/>
    <n v="1682.12"/>
    <n v="1159.95"/>
    <n v="522.16999999999996"/>
    <x v="3"/>
  </r>
  <r>
    <s v="ORD01555"/>
    <d v="2025-11-30T00:00:00"/>
    <x v="1"/>
    <x v="0"/>
    <x v="3"/>
    <n v="177"/>
    <n v="33.299999999999997"/>
    <n v="5894.1"/>
    <n v="3712.44"/>
    <n v="2181.66"/>
    <x v="3"/>
  </r>
  <r>
    <s v="ORD01556"/>
    <d v="2025-07-22T00:00:00"/>
    <x v="0"/>
    <x v="1"/>
    <x v="2"/>
    <n v="278"/>
    <n v="30.62"/>
    <n v="8512.36"/>
    <n v="5412.34"/>
    <n v="3100.02"/>
    <x v="8"/>
  </r>
  <r>
    <s v="ORD01557"/>
    <d v="2025-05-10T00:00:00"/>
    <x v="5"/>
    <x v="1"/>
    <x v="1"/>
    <n v="105"/>
    <n v="34.590000000000003"/>
    <n v="3631.95"/>
    <n v="2877.08"/>
    <n v="754.87"/>
    <x v="11"/>
  </r>
  <r>
    <s v="ORD01558"/>
    <d v="2025-08-28T00:00:00"/>
    <x v="2"/>
    <x v="1"/>
    <x v="0"/>
    <n v="73"/>
    <n v="17.03"/>
    <n v="1243.19"/>
    <n v="887.65"/>
    <n v="355.54"/>
    <x v="6"/>
  </r>
  <r>
    <s v="ORD01559"/>
    <d v="2025-10-09T00:00:00"/>
    <x v="5"/>
    <x v="1"/>
    <x v="1"/>
    <n v="257"/>
    <n v="26.89"/>
    <n v="6910.73"/>
    <n v="5387.57"/>
    <n v="1523.16"/>
    <x v="1"/>
  </r>
  <r>
    <s v="ORD01560"/>
    <d v="2025-05-05T00:00:00"/>
    <x v="1"/>
    <x v="1"/>
    <x v="5"/>
    <n v="12"/>
    <n v="26.93"/>
    <n v="323.16000000000003"/>
    <n v="214.04"/>
    <n v="109.12"/>
    <x v="11"/>
  </r>
  <r>
    <s v="ORD01561"/>
    <d v="2025-06-23T00:00:00"/>
    <x v="0"/>
    <x v="1"/>
    <x v="1"/>
    <n v="144"/>
    <n v="22.6"/>
    <n v="3254.4"/>
    <n v="2305.66"/>
    <n v="948.74"/>
    <x v="0"/>
  </r>
  <r>
    <s v="ORD01562"/>
    <d v="2025-09-28T00:00:00"/>
    <x v="2"/>
    <x v="1"/>
    <x v="0"/>
    <n v="84"/>
    <n v="25.78"/>
    <n v="2165.52"/>
    <n v="1543.41"/>
    <n v="622.11"/>
    <x v="9"/>
  </r>
  <r>
    <s v="ORD01563"/>
    <d v="2025-07-31T00:00:00"/>
    <x v="2"/>
    <x v="2"/>
    <x v="1"/>
    <n v="183"/>
    <n v="30.85"/>
    <n v="5645.55"/>
    <n v="4007.04"/>
    <n v="1638.51"/>
    <x v="8"/>
  </r>
  <r>
    <s v="ORD01564"/>
    <d v="2025-12-07T00:00:00"/>
    <x v="3"/>
    <x v="2"/>
    <x v="2"/>
    <n v="41"/>
    <n v="12.72"/>
    <n v="521.52"/>
    <n v="409.6"/>
    <n v="111.92"/>
    <x v="5"/>
  </r>
  <r>
    <s v="ORD01565"/>
    <d v="2025-08-11T00:00:00"/>
    <x v="2"/>
    <x v="2"/>
    <x v="2"/>
    <n v="195"/>
    <n v="11.8"/>
    <n v="2301"/>
    <n v="1659.96"/>
    <n v="641.04"/>
    <x v="6"/>
  </r>
  <r>
    <s v="ORD01566"/>
    <d v="2025-05-01T00:00:00"/>
    <x v="5"/>
    <x v="2"/>
    <x v="4"/>
    <n v="176"/>
    <n v="37.76"/>
    <n v="6645.76"/>
    <n v="4005.55"/>
    <n v="2640.21"/>
    <x v="11"/>
  </r>
  <r>
    <s v="ORD01567"/>
    <d v="2025-09-07T00:00:00"/>
    <x v="3"/>
    <x v="2"/>
    <x v="1"/>
    <n v="225"/>
    <n v="19.989999999999998"/>
    <n v="4497.75"/>
    <n v="3327.2"/>
    <n v="1170.55"/>
    <x v="9"/>
  </r>
  <r>
    <s v="ORD01568"/>
    <d v="2025-06-21T00:00:00"/>
    <x v="2"/>
    <x v="0"/>
    <x v="0"/>
    <n v="108"/>
    <n v="39.82"/>
    <n v="4300.5600000000004"/>
    <n v="2872.91"/>
    <n v="1427.65"/>
    <x v="0"/>
  </r>
  <r>
    <s v="ORD01569"/>
    <d v="2025-09-09T00:00:00"/>
    <x v="1"/>
    <x v="1"/>
    <x v="2"/>
    <n v="195"/>
    <n v="24.98"/>
    <n v="4871.1000000000004"/>
    <n v="3744.5"/>
    <n v="1126.5999999999999"/>
    <x v="9"/>
  </r>
  <r>
    <s v="ORD01570"/>
    <d v="2025-01-07T00:00:00"/>
    <x v="0"/>
    <x v="2"/>
    <x v="1"/>
    <n v="261"/>
    <n v="13.49"/>
    <n v="3520.89"/>
    <n v="2560.77"/>
    <n v="960.12"/>
    <x v="10"/>
  </r>
  <r>
    <s v="ORD01571"/>
    <d v="2025-10-12T00:00:00"/>
    <x v="4"/>
    <x v="2"/>
    <x v="3"/>
    <n v="263"/>
    <n v="12.16"/>
    <n v="3198.08"/>
    <n v="2364.5300000000002"/>
    <n v="833.55"/>
    <x v="1"/>
  </r>
  <r>
    <s v="ORD01572"/>
    <d v="2025-03-27T00:00:00"/>
    <x v="4"/>
    <x v="0"/>
    <x v="2"/>
    <n v="31"/>
    <n v="23.08"/>
    <n v="715.48"/>
    <n v="468.37"/>
    <n v="247.11"/>
    <x v="4"/>
  </r>
  <r>
    <s v="ORD01573"/>
    <d v="2025-05-17T00:00:00"/>
    <x v="1"/>
    <x v="0"/>
    <x v="4"/>
    <n v="171"/>
    <n v="20.09"/>
    <n v="3435.39"/>
    <n v="2699.6"/>
    <n v="735.79"/>
    <x v="11"/>
  </r>
  <r>
    <s v="ORD01574"/>
    <d v="2025-06-08T00:00:00"/>
    <x v="2"/>
    <x v="0"/>
    <x v="1"/>
    <n v="177"/>
    <n v="13.07"/>
    <n v="2313.39"/>
    <n v="1699.84"/>
    <n v="613.54999999999995"/>
    <x v="0"/>
  </r>
  <r>
    <s v="ORD01575"/>
    <d v="2025-08-04T00:00:00"/>
    <x v="3"/>
    <x v="2"/>
    <x v="3"/>
    <n v="121"/>
    <n v="15.44"/>
    <n v="1868.24"/>
    <n v="1286.68"/>
    <n v="581.55999999999995"/>
    <x v="6"/>
  </r>
  <r>
    <s v="ORD01576"/>
    <d v="2025-10-26T00:00:00"/>
    <x v="5"/>
    <x v="1"/>
    <x v="4"/>
    <n v="76"/>
    <n v="12.82"/>
    <n v="974.32"/>
    <n v="610.71"/>
    <n v="363.61"/>
    <x v="1"/>
  </r>
  <r>
    <s v="ORD01577"/>
    <d v="2025-03-19T00:00:00"/>
    <x v="2"/>
    <x v="1"/>
    <x v="5"/>
    <n v="239"/>
    <n v="16.2"/>
    <n v="3871.8"/>
    <n v="2520.02"/>
    <n v="1351.78"/>
    <x v="4"/>
  </r>
  <r>
    <s v="ORD01578"/>
    <d v="2025-08-27T00:00:00"/>
    <x v="1"/>
    <x v="1"/>
    <x v="5"/>
    <n v="275"/>
    <n v="35.54"/>
    <n v="9773.5"/>
    <n v="6251.43"/>
    <n v="3522.07"/>
    <x v="6"/>
  </r>
  <r>
    <s v="ORD01579"/>
    <d v="2025-01-03T00:00:00"/>
    <x v="0"/>
    <x v="2"/>
    <x v="2"/>
    <n v="35"/>
    <n v="36.520000000000003"/>
    <n v="1278.2"/>
    <n v="794.05"/>
    <n v="484.15"/>
    <x v="10"/>
  </r>
  <r>
    <s v="ORD01580"/>
    <d v="2025-08-09T00:00:00"/>
    <x v="2"/>
    <x v="2"/>
    <x v="3"/>
    <n v="22"/>
    <n v="35.17"/>
    <n v="773.74"/>
    <n v="567.86"/>
    <n v="205.88"/>
    <x v="6"/>
  </r>
  <r>
    <s v="ORD01581"/>
    <d v="2025-09-10T00:00:00"/>
    <x v="4"/>
    <x v="0"/>
    <x v="3"/>
    <n v="183"/>
    <n v="20.37"/>
    <n v="3727.71"/>
    <n v="2441.2399999999998"/>
    <n v="1286.47"/>
    <x v="9"/>
  </r>
  <r>
    <s v="ORD01582"/>
    <d v="2025-12-29T00:00:00"/>
    <x v="0"/>
    <x v="0"/>
    <x v="5"/>
    <n v="40"/>
    <n v="29.85"/>
    <n v="1194"/>
    <n v="942.99"/>
    <n v="251.01"/>
    <x v="5"/>
  </r>
  <r>
    <s v="ORD01583"/>
    <d v="2025-01-31T00:00:00"/>
    <x v="5"/>
    <x v="1"/>
    <x v="1"/>
    <n v="193"/>
    <n v="16.670000000000002"/>
    <n v="3217.31"/>
    <n v="1981.1"/>
    <n v="1236.21"/>
    <x v="10"/>
  </r>
  <r>
    <s v="ORD01584"/>
    <d v="2025-08-29T00:00:00"/>
    <x v="3"/>
    <x v="1"/>
    <x v="0"/>
    <n v="73"/>
    <n v="10.28"/>
    <n v="750.44"/>
    <n v="467.14"/>
    <n v="283.3"/>
    <x v="6"/>
  </r>
  <r>
    <s v="ORD01585"/>
    <d v="2025-07-03T00:00:00"/>
    <x v="3"/>
    <x v="0"/>
    <x v="0"/>
    <n v="291"/>
    <n v="23.1"/>
    <n v="6722.1"/>
    <n v="4639.99"/>
    <n v="2082.11"/>
    <x v="8"/>
  </r>
  <r>
    <s v="ORD01586"/>
    <d v="2025-06-22T00:00:00"/>
    <x v="5"/>
    <x v="2"/>
    <x v="2"/>
    <n v="41"/>
    <n v="36.53"/>
    <n v="1497.73"/>
    <n v="987.9"/>
    <n v="509.83"/>
    <x v="0"/>
  </r>
  <r>
    <s v="ORD01587"/>
    <d v="2025-04-14T00:00:00"/>
    <x v="2"/>
    <x v="1"/>
    <x v="1"/>
    <n v="14"/>
    <n v="15.22"/>
    <n v="213.08"/>
    <n v="139.59"/>
    <n v="73.489999999999995"/>
    <x v="7"/>
  </r>
  <r>
    <s v="ORD01588"/>
    <d v="2025-02-02T00:00:00"/>
    <x v="2"/>
    <x v="1"/>
    <x v="2"/>
    <n v="174"/>
    <n v="29.47"/>
    <n v="5127.78"/>
    <n v="3816.92"/>
    <n v="1310.86"/>
    <x v="2"/>
  </r>
  <r>
    <s v="ORD01589"/>
    <d v="2025-08-11T00:00:00"/>
    <x v="2"/>
    <x v="2"/>
    <x v="3"/>
    <n v="150"/>
    <n v="29.53"/>
    <n v="4429.5"/>
    <n v="3239.93"/>
    <n v="1189.57"/>
    <x v="6"/>
  </r>
  <r>
    <s v="ORD01590"/>
    <d v="2025-05-31T00:00:00"/>
    <x v="5"/>
    <x v="2"/>
    <x v="4"/>
    <n v="62"/>
    <n v="11.8"/>
    <n v="731.6"/>
    <n v="531.27"/>
    <n v="200.33"/>
    <x v="11"/>
  </r>
  <r>
    <s v="ORD01591"/>
    <d v="2025-07-23T00:00:00"/>
    <x v="1"/>
    <x v="0"/>
    <x v="3"/>
    <n v="239"/>
    <n v="10.52"/>
    <n v="2514.2800000000002"/>
    <n v="1573.57"/>
    <n v="940.71"/>
    <x v="8"/>
  </r>
  <r>
    <s v="ORD01592"/>
    <d v="2025-05-19T00:00:00"/>
    <x v="3"/>
    <x v="0"/>
    <x v="1"/>
    <n v="277"/>
    <n v="15.08"/>
    <n v="4177.16"/>
    <n v="3315.41"/>
    <n v="861.75"/>
    <x v="11"/>
  </r>
  <r>
    <s v="ORD01593"/>
    <d v="2025-01-19T00:00:00"/>
    <x v="1"/>
    <x v="1"/>
    <x v="5"/>
    <n v="258"/>
    <n v="38.869999999999997"/>
    <n v="10028.459999999999"/>
    <n v="7793.48"/>
    <n v="2234.98"/>
    <x v="10"/>
  </r>
  <r>
    <s v="ORD01594"/>
    <d v="2025-10-11T00:00:00"/>
    <x v="5"/>
    <x v="0"/>
    <x v="5"/>
    <n v="270"/>
    <n v="20.02"/>
    <n v="5405.4"/>
    <n v="3492.99"/>
    <n v="1912.41"/>
    <x v="1"/>
  </r>
  <r>
    <s v="ORD01595"/>
    <d v="2025-08-10T00:00:00"/>
    <x v="4"/>
    <x v="1"/>
    <x v="5"/>
    <n v="69"/>
    <n v="14.62"/>
    <n v="1008.78"/>
    <n v="629.16999999999996"/>
    <n v="379.61"/>
    <x v="6"/>
  </r>
  <r>
    <s v="ORD01596"/>
    <d v="2025-07-20T00:00:00"/>
    <x v="1"/>
    <x v="1"/>
    <x v="3"/>
    <n v="38"/>
    <n v="25.71"/>
    <n v="976.98"/>
    <n v="739.1"/>
    <n v="237.88"/>
    <x v="8"/>
  </r>
  <r>
    <s v="ORD01597"/>
    <d v="2025-10-18T00:00:00"/>
    <x v="0"/>
    <x v="2"/>
    <x v="5"/>
    <n v="26"/>
    <n v="31.54"/>
    <n v="820.04"/>
    <n v="548.13"/>
    <n v="271.91000000000003"/>
    <x v="1"/>
  </r>
  <r>
    <s v="ORD01598"/>
    <d v="2025-06-12T00:00:00"/>
    <x v="1"/>
    <x v="1"/>
    <x v="2"/>
    <n v="205"/>
    <n v="19"/>
    <n v="3895"/>
    <n v="2873.52"/>
    <n v="1021.48"/>
    <x v="0"/>
  </r>
  <r>
    <s v="ORD01599"/>
    <d v="2025-09-27T00:00:00"/>
    <x v="4"/>
    <x v="1"/>
    <x v="1"/>
    <n v="257"/>
    <n v="21.45"/>
    <n v="5512.65"/>
    <n v="4157.05"/>
    <n v="1355.6"/>
    <x v="9"/>
  </r>
  <r>
    <s v="ORD01600"/>
    <d v="2025-11-12T00:00:00"/>
    <x v="0"/>
    <x v="0"/>
    <x v="5"/>
    <n v="251"/>
    <n v="14.63"/>
    <n v="3672.13"/>
    <n v="2921.9"/>
    <n v="750.23"/>
    <x v="3"/>
  </r>
  <r>
    <s v="ORD01601"/>
    <d v="2025-03-19T00:00:00"/>
    <x v="5"/>
    <x v="2"/>
    <x v="4"/>
    <n v="221"/>
    <n v="38.21"/>
    <n v="8444.41"/>
    <n v="5517.7"/>
    <n v="2926.71"/>
    <x v="4"/>
  </r>
  <r>
    <s v="ORD01602"/>
    <d v="2025-05-30T00:00:00"/>
    <x v="1"/>
    <x v="0"/>
    <x v="2"/>
    <n v="115"/>
    <n v="27.61"/>
    <n v="3175.15"/>
    <n v="2196.61"/>
    <n v="978.54"/>
    <x v="11"/>
  </r>
  <r>
    <s v="ORD01603"/>
    <d v="2025-12-19T00:00:00"/>
    <x v="2"/>
    <x v="1"/>
    <x v="2"/>
    <n v="182"/>
    <n v="38.270000000000003"/>
    <n v="6965.14"/>
    <n v="4385.49"/>
    <n v="2579.65"/>
    <x v="5"/>
  </r>
  <r>
    <s v="ORD01604"/>
    <d v="2025-05-19T00:00:00"/>
    <x v="2"/>
    <x v="1"/>
    <x v="3"/>
    <n v="299"/>
    <n v="19.670000000000002"/>
    <n v="5881.33"/>
    <n v="3904.29"/>
    <n v="1977.04"/>
    <x v="11"/>
  </r>
  <r>
    <s v="ORD01605"/>
    <d v="2025-12-09T00:00:00"/>
    <x v="0"/>
    <x v="1"/>
    <x v="1"/>
    <n v="52"/>
    <n v="22.52"/>
    <n v="1171.04"/>
    <n v="868.16"/>
    <n v="302.88"/>
    <x v="5"/>
  </r>
  <r>
    <s v="ORD01606"/>
    <d v="2025-06-30T00:00:00"/>
    <x v="1"/>
    <x v="1"/>
    <x v="2"/>
    <n v="20"/>
    <n v="16.899999999999999"/>
    <n v="338"/>
    <n v="246.75"/>
    <n v="91.25"/>
    <x v="0"/>
  </r>
  <r>
    <s v="ORD01607"/>
    <d v="2025-08-17T00:00:00"/>
    <x v="1"/>
    <x v="0"/>
    <x v="1"/>
    <n v="242"/>
    <n v="31.66"/>
    <n v="7661.72"/>
    <n v="6118.34"/>
    <n v="1543.38"/>
    <x v="6"/>
  </r>
  <r>
    <s v="ORD01608"/>
    <d v="2025-12-21T00:00:00"/>
    <x v="4"/>
    <x v="1"/>
    <x v="3"/>
    <n v="119"/>
    <n v="28.81"/>
    <n v="3428.39"/>
    <n v="2094.37"/>
    <n v="1334.02"/>
    <x v="5"/>
  </r>
  <r>
    <s v="ORD01609"/>
    <d v="2025-05-25T00:00:00"/>
    <x v="4"/>
    <x v="2"/>
    <x v="2"/>
    <n v="253"/>
    <n v="18.8"/>
    <n v="4756.3999999999996"/>
    <n v="3403.77"/>
    <n v="1352.63"/>
    <x v="11"/>
  </r>
  <r>
    <s v="ORD01610"/>
    <d v="2025-07-22T00:00:00"/>
    <x v="0"/>
    <x v="1"/>
    <x v="0"/>
    <n v="76"/>
    <n v="20.97"/>
    <n v="1593.72"/>
    <n v="1076.83"/>
    <n v="516.89"/>
    <x v="8"/>
  </r>
  <r>
    <s v="ORD01611"/>
    <d v="2025-10-27T00:00:00"/>
    <x v="1"/>
    <x v="0"/>
    <x v="4"/>
    <n v="280"/>
    <n v="36.57"/>
    <n v="10239.6"/>
    <n v="6289.99"/>
    <n v="3949.61"/>
    <x v="1"/>
  </r>
  <r>
    <s v="ORD01612"/>
    <d v="2025-08-12T00:00:00"/>
    <x v="2"/>
    <x v="1"/>
    <x v="1"/>
    <n v="168"/>
    <n v="24.51"/>
    <n v="4117.68"/>
    <n v="2587.52"/>
    <n v="1530.16"/>
    <x v="6"/>
  </r>
  <r>
    <s v="ORD01613"/>
    <d v="2025-12-29T00:00:00"/>
    <x v="2"/>
    <x v="1"/>
    <x v="3"/>
    <n v="46"/>
    <n v="22.62"/>
    <n v="1040.52"/>
    <n v="758.16"/>
    <n v="282.36"/>
    <x v="5"/>
  </r>
  <r>
    <s v="ORD01614"/>
    <d v="2025-03-19T00:00:00"/>
    <x v="2"/>
    <x v="0"/>
    <x v="5"/>
    <n v="20"/>
    <n v="36.549999999999997"/>
    <n v="731"/>
    <n v="459.09"/>
    <n v="271.91000000000003"/>
    <x v="4"/>
  </r>
  <r>
    <s v="ORD01615"/>
    <d v="2025-01-22T00:00:00"/>
    <x v="1"/>
    <x v="2"/>
    <x v="0"/>
    <n v="44"/>
    <n v="32.200000000000003"/>
    <n v="1416.8"/>
    <n v="933.7"/>
    <n v="483.1"/>
    <x v="10"/>
  </r>
  <r>
    <s v="ORD01616"/>
    <d v="2025-06-14T00:00:00"/>
    <x v="5"/>
    <x v="2"/>
    <x v="0"/>
    <n v="172"/>
    <n v="10.09"/>
    <n v="1735.48"/>
    <n v="1295.69"/>
    <n v="439.79"/>
    <x v="0"/>
  </r>
  <r>
    <s v="ORD01617"/>
    <d v="2025-07-07T00:00:00"/>
    <x v="3"/>
    <x v="1"/>
    <x v="2"/>
    <n v="178"/>
    <n v="16.670000000000002"/>
    <n v="2967.26"/>
    <n v="2260.2600000000002"/>
    <n v="707"/>
    <x v="8"/>
  </r>
  <r>
    <s v="ORD01618"/>
    <d v="2025-04-12T00:00:00"/>
    <x v="5"/>
    <x v="0"/>
    <x v="1"/>
    <n v="228"/>
    <n v="27.76"/>
    <n v="6329.28"/>
    <n v="4393.1400000000003"/>
    <n v="1936.14"/>
    <x v="7"/>
  </r>
  <r>
    <s v="ORD01619"/>
    <d v="2025-04-24T00:00:00"/>
    <x v="4"/>
    <x v="1"/>
    <x v="5"/>
    <n v="58"/>
    <n v="22.01"/>
    <n v="1276.58"/>
    <n v="873.71"/>
    <n v="402.87"/>
    <x v="7"/>
  </r>
  <r>
    <s v="ORD01620"/>
    <d v="2025-03-14T00:00:00"/>
    <x v="4"/>
    <x v="2"/>
    <x v="0"/>
    <n v="282"/>
    <n v="38.76"/>
    <n v="10930.32"/>
    <n v="6952.64"/>
    <n v="3977.68"/>
    <x v="4"/>
  </r>
  <r>
    <s v="ORD01621"/>
    <d v="2025-07-01T00:00:00"/>
    <x v="3"/>
    <x v="1"/>
    <x v="4"/>
    <n v="10"/>
    <n v="14.67"/>
    <n v="146.69999999999999"/>
    <n v="89.11"/>
    <n v="57.59"/>
    <x v="8"/>
  </r>
  <r>
    <s v="ORD01622"/>
    <d v="2025-12-28T00:00:00"/>
    <x v="5"/>
    <x v="1"/>
    <x v="1"/>
    <n v="194"/>
    <n v="33.72"/>
    <n v="6541.68"/>
    <n v="3936.45"/>
    <n v="2605.23"/>
    <x v="5"/>
  </r>
  <r>
    <s v="ORD01623"/>
    <d v="2025-02-16T00:00:00"/>
    <x v="3"/>
    <x v="2"/>
    <x v="2"/>
    <n v="89"/>
    <n v="34.94"/>
    <n v="3109.66"/>
    <n v="2339.1999999999998"/>
    <n v="770.46"/>
    <x v="2"/>
  </r>
  <r>
    <s v="ORD01624"/>
    <d v="2025-08-06T00:00:00"/>
    <x v="5"/>
    <x v="2"/>
    <x v="5"/>
    <n v="263"/>
    <n v="19.41"/>
    <n v="5104.83"/>
    <n v="3644.57"/>
    <n v="1460.26"/>
    <x v="6"/>
  </r>
  <r>
    <s v="ORD01625"/>
    <d v="2025-09-03T00:00:00"/>
    <x v="5"/>
    <x v="2"/>
    <x v="1"/>
    <n v="181"/>
    <n v="27.53"/>
    <n v="4982.93"/>
    <n v="3199.44"/>
    <n v="1783.49"/>
    <x v="9"/>
  </r>
  <r>
    <s v="ORD01626"/>
    <d v="2025-01-03T00:00:00"/>
    <x v="3"/>
    <x v="2"/>
    <x v="3"/>
    <n v="64"/>
    <n v="21.44"/>
    <n v="1372.16"/>
    <n v="919.71"/>
    <n v="452.45"/>
    <x v="10"/>
  </r>
  <r>
    <s v="ORD01627"/>
    <d v="2025-01-18T00:00:00"/>
    <x v="0"/>
    <x v="0"/>
    <x v="0"/>
    <n v="289"/>
    <n v="18.52"/>
    <n v="5352.28"/>
    <n v="3765.79"/>
    <n v="1586.49"/>
    <x v="10"/>
  </r>
  <r>
    <s v="ORD01628"/>
    <d v="2025-07-27T00:00:00"/>
    <x v="1"/>
    <x v="0"/>
    <x v="3"/>
    <n v="32"/>
    <n v="32.590000000000003"/>
    <n v="1042.8800000000001"/>
    <n v="713.57"/>
    <n v="329.31"/>
    <x v="8"/>
  </r>
  <r>
    <s v="ORD01629"/>
    <d v="2025-03-21T00:00:00"/>
    <x v="4"/>
    <x v="1"/>
    <x v="1"/>
    <n v="121"/>
    <n v="28.21"/>
    <n v="3413.41"/>
    <n v="2363.7199999999998"/>
    <n v="1049.69"/>
    <x v="4"/>
  </r>
  <r>
    <s v="ORD01630"/>
    <d v="2025-08-08T00:00:00"/>
    <x v="2"/>
    <x v="0"/>
    <x v="4"/>
    <n v="259"/>
    <n v="28.81"/>
    <n v="7461.79"/>
    <n v="5934.13"/>
    <n v="1527.66"/>
    <x v="6"/>
  </r>
  <r>
    <s v="ORD01631"/>
    <d v="2025-07-15T00:00:00"/>
    <x v="0"/>
    <x v="2"/>
    <x v="2"/>
    <n v="298"/>
    <n v="29.5"/>
    <n v="8791"/>
    <n v="5849.14"/>
    <n v="2941.86"/>
    <x v="8"/>
  </r>
  <r>
    <s v="ORD01632"/>
    <d v="2025-07-09T00:00:00"/>
    <x v="1"/>
    <x v="1"/>
    <x v="2"/>
    <n v="262"/>
    <n v="27.57"/>
    <n v="7223.34"/>
    <n v="5408.74"/>
    <n v="1814.6"/>
    <x v="8"/>
  </r>
  <r>
    <s v="ORD01633"/>
    <d v="2025-01-03T00:00:00"/>
    <x v="5"/>
    <x v="0"/>
    <x v="5"/>
    <n v="168"/>
    <n v="36.869999999999997"/>
    <n v="6194.16"/>
    <n v="4366.7299999999996"/>
    <n v="1827.43"/>
    <x v="10"/>
  </r>
  <r>
    <s v="ORD01634"/>
    <d v="2025-07-17T00:00:00"/>
    <x v="5"/>
    <x v="0"/>
    <x v="0"/>
    <n v="259"/>
    <n v="39.619999999999997"/>
    <n v="10261.58"/>
    <n v="6958.3"/>
    <n v="3303.28"/>
    <x v="8"/>
  </r>
  <r>
    <s v="ORD01635"/>
    <d v="2025-08-03T00:00:00"/>
    <x v="3"/>
    <x v="0"/>
    <x v="5"/>
    <n v="157"/>
    <n v="21"/>
    <n v="3297"/>
    <n v="2203.7800000000002"/>
    <n v="1093.22"/>
    <x v="6"/>
  </r>
  <r>
    <s v="ORD01636"/>
    <d v="2025-02-01T00:00:00"/>
    <x v="0"/>
    <x v="2"/>
    <x v="5"/>
    <n v="103"/>
    <n v="39.68"/>
    <n v="4087.04"/>
    <n v="3098.46"/>
    <n v="988.58"/>
    <x v="2"/>
  </r>
  <r>
    <s v="ORD01637"/>
    <d v="2025-10-12T00:00:00"/>
    <x v="3"/>
    <x v="1"/>
    <x v="2"/>
    <n v="163"/>
    <n v="38.21"/>
    <n v="6228.23"/>
    <n v="3904.93"/>
    <n v="2323.3000000000002"/>
    <x v="1"/>
  </r>
  <r>
    <s v="ORD01638"/>
    <d v="2025-05-09T00:00:00"/>
    <x v="3"/>
    <x v="2"/>
    <x v="5"/>
    <n v="73"/>
    <n v="35.56"/>
    <n v="2595.88"/>
    <n v="1890.94"/>
    <n v="704.94"/>
    <x v="11"/>
  </r>
  <r>
    <s v="ORD01639"/>
    <d v="2025-12-03T00:00:00"/>
    <x v="5"/>
    <x v="2"/>
    <x v="0"/>
    <n v="104"/>
    <n v="39.33"/>
    <n v="4090.32"/>
    <n v="3073.76"/>
    <n v="1016.56"/>
    <x v="5"/>
  </r>
  <r>
    <s v="ORD01640"/>
    <d v="2025-04-05T00:00:00"/>
    <x v="4"/>
    <x v="2"/>
    <x v="5"/>
    <n v="34"/>
    <n v="26.25"/>
    <n v="892.5"/>
    <n v="593.53"/>
    <n v="298.97000000000003"/>
    <x v="7"/>
  </r>
  <r>
    <s v="ORD01641"/>
    <d v="2025-07-04T00:00:00"/>
    <x v="1"/>
    <x v="2"/>
    <x v="4"/>
    <n v="107"/>
    <n v="32.479999999999997"/>
    <n v="3475.36"/>
    <n v="2346.25"/>
    <n v="1129.1099999999999"/>
    <x v="8"/>
  </r>
  <r>
    <s v="ORD01642"/>
    <d v="2025-10-10T00:00:00"/>
    <x v="3"/>
    <x v="0"/>
    <x v="3"/>
    <n v="222"/>
    <n v="30.56"/>
    <n v="6784.32"/>
    <n v="4815.04"/>
    <n v="1969.28"/>
    <x v="1"/>
  </r>
  <r>
    <s v="ORD01643"/>
    <d v="2025-08-03T00:00:00"/>
    <x v="3"/>
    <x v="2"/>
    <x v="2"/>
    <n v="218"/>
    <n v="20.57"/>
    <n v="4484.26"/>
    <n v="2903.01"/>
    <n v="1581.25"/>
    <x v="6"/>
  </r>
  <r>
    <s v="ORD01644"/>
    <d v="2025-01-05T00:00:00"/>
    <x v="2"/>
    <x v="1"/>
    <x v="2"/>
    <n v="91"/>
    <n v="22.36"/>
    <n v="2034.76"/>
    <n v="1454.39"/>
    <n v="580.37"/>
    <x v="10"/>
  </r>
  <r>
    <s v="ORD01645"/>
    <d v="2025-06-09T00:00:00"/>
    <x v="1"/>
    <x v="1"/>
    <x v="0"/>
    <n v="109"/>
    <n v="17.54"/>
    <n v="1911.86"/>
    <n v="1161.3900000000001"/>
    <n v="750.47"/>
    <x v="0"/>
  </r>
  <r>
    <s v="ORD01646"/>
    <d v="2025-06-12T00:00:00"/>
    <x v="3"/>
    <x v="1"/>
    <x v="4"/>
    <n v="280"/>
    <n v="35.97"/>
    <n v="10071.6"/>
    <n v="7427.4"/>
    <n v="2644.2"/>
    <x v="0"/>
  </r>
  <r>
    <s v="ORD01647"/>
    <d v="2025-07-10T00:00:00"/>
    <x v="5"/>
    <x v="2"/>
    <x v="2"/>
    <n v="48"/>
    <n v="29.2"/>
    <n v="1401.6"/>
    <n v="940.14"/>
    <n v="461.46"/>
    <x v="8"/>
  </r>
  <r>
    <s v="ORD01648"/>
    <d v="2025-05-30T00:00:00"/>
    <x v="1"/>
    <x v="0"/>
    <x v="4"/>
    <n v="32"/>
    <n v="22.73"/>
    <n v="727.36"/>
    <n v="508.87"/>
    <n v="218.49"/>
    <x v="11"/>
  </r>
  <r>
    <s v="ORD01649"/>
    <d v="2025-06-13T00:00:00"/>
    <x v="5"/>
    <x v="0"/>
    <x v="2"/>
    <n v="181"/>
    <n v="11.97"/>
    <n v="2166.5700000000002"/>
    <n v="1701.05"/>
    <n v="465.52"/>
    <x v="0"/>
  </r>
  <r>
    <s v="ORD01650"/>
    <d v="2025-07-26T00:00:00"/>
    <x v="4"/>
    <x v="0"/>
    <x v="5"/>
    <n v="219"/>
    <n v="31.39"/>
    <n v="6874.41"/>
    <n v="5406.31"/>
    <n v="1468.1"/>
    <x v="8"/>
  </r>
  <r>
    <s v="ORD01651"/>
    <d v="2025-08-21T00:00:00"/>
    <x v="3"/>
    <x v="1"/>
    <x v="0"/>
    <n v="171"/>
    <n v="25.33"/>
    <n v="4331.43"/>
    <n v="3167.09"/>
    <n v="1164.3399999999999"/>
    <x v="6"/>
  </r>
  <r>
    <s v="ORD01652"/>
    <d v="2025-07-27T00:00:00"/>
    <x v="4"/>
    <x v="1"/>
    <x v="1"/>
    <n v="298"/>
    <n v="30.38"/>
    <n v="9053.24"/>
    <n v="7177.36"/>
    <n v="1875.88"/>
    <x v="8"/>
  </r>
  <r>
    <s v="ORD01653"/>
    <d v="2025-07-25T00:00:00"/>
    <x v="5"/>
    <x v="0"/>
    <x v="5"/>
    <n v="117"/>
    <n v="12.49"/>
    <n v="1461.33"/>
    <n v="1144.3399999999999"/>
    <n v="316.99"/>
    <x v="8"/>
  </r>
  <r>
    <s v="ORD01654"/>
    <d v="2025-09-02T00:00:00"/>
    <x v="2"/>
    <x v="0"/>
    <x v="3"/>
    <n v="122"/>
    <n v="18.52"/>
    <n v="2259.44"/>
    <n v="1616.94"/>
    <n v="642.5"/>
    <x v="9"/>
  </r>
  <r>
    <s v="ORD01655"/>
    <d v="2025-09-07T00:00:00"/>
    <x v="2"/>
    <x v="1"/>
    <x v="2"/>
    <n v="106"/>
    <n v="17.18"/>
    <n v="1821.08"/>
    <n v="1323.52"/>
    <n v="497.56"/>
    <x v="9"/>
  </r>
  <r>
    <s v="ORD01656"/>
    <d v="2025-10-14T00:00:00"/>
    <x v="4"/>
    <x v="1"/>
    <x v="1"/>
    <n v="165"/>
    <n v="37.880000000000003"/>
    <n v="6250.2"/>
    <n v="4945.6899999999996"/>
    <n v="1304.51"/>
    <x v="1"/>
  </r>
  <r>
    <s v="ORD01657"/>
    <d v="2025-04-14T00:00:00"/>
    <x v="3"/>
    <x v="2"/>
    <x v="2"/>
    <n v="245"/>
    <n v="28.76"/>
    <n v="7046.2"/>
    <n v="4918.24"/>
    <n v="2127.96"/>
    <x v="7"/>
  </r>
  <r>
    <s v="ORD01658"/>
    <d v="2025-12-23T00:00:00"/>
    <x v="2"/>
    <x v="2"/>
    <x v="5"/>
    <n v="164"/>
    <n v="25.73"/>
    <n v="4219.72"/>
    <n v="3020.64"/>
    <n v="1199.08"/>
    <x v="5"/>
  </r>
  <r>
    <s v="ORD01659"/>
    <d v="2025-09-21T00:00:00"/>
    <x v="5"/>
    <x v="1"/>
    <x v="1"/>
    <n v="213"/>
    <n v="34.03"/>
    <n v="7248.39"/>
    <n v="5394.91"/>
    <n v="1853.48"/>
    <x v="9"/>
  </r>
  <r>
    <s v="ORD01660"/>
    <d v="2025-05-09T00:00:00"/>
    <x v="5"/>
    <x v="0"/>
    <x v="1"/>
    <n v="155"/>
    <n v="27.93"/>
    <n v="4329.1499999999996"/>
    <n v="2640.13"/>
    <n v="1689.02"/>
    <x v="11"/>
  </r>
  <r>
    <s v="ORD01661"/>
    <d v="2025-07-05T00:00:00"/>
    <x v="1"/>
    <x v="0"/>
    <x v="3"/>
    <n v="49"/>
    <n v="38.450000000000003"/>
    <n v="1884.05"/>
    <n v="1461.41"/>
    <n v="422.64"/>
    <x v="8"/>
  </r>
  <r>
    <s v="ORD01662"/>
    <d v="2025-02-20T00:00:00"/>
    <x v="1"/>
    <x v="2"/>
    <x v="0"/>
    <n v="250"/>
    <n v="32.549999999999997"/>
    <n v="8137.5"/>
    <n v="5624.84"/>
    <n v="2512.66"/>
    <x v="2"/>
  </r>
  <r>
    <s v="ORD01663"/>
    <d v="2025-04-16T00:00:00"/>
    <x v="5"/>
    <x v="0"/>
    <x v="5"/>
    <n v="284"/>
    <n v="35.81"/>
    <n v="10170.040000000001"/>
    <n v="6280.94"/>
    <n v="3889.1"/>
    <x v="7"/>
  </r>
  <r>
    <s v="ORD01664"/>
    <d v="2025-05-10T00:00:00"/>
    <x v="0"/>
    <x v="0"/>
    <x v="2"/>
    <n v="239"/>
    <n v="25.15"/>
    <n v="6010.85"/>
    <n v="4259.8900000000003"/>
    <n v="1750.96"/>
    <x v="11"/>
  </r>
  <r>
    <s v="ORD01665"/>
    <d v="2025-04-07T00:00:00"/>
    <x v="1"/>
    <x v="2"/>
    <x v="3"/>
    <n v="239"/>
    <n v="34.42"/>
    <n v="8226.3799999999992"/>
    <n v="5084.37"/>
    <n v="3142.01"/>
    <x v="7"/>
  </r>
  <r>
    <s v="ORD01666"/>
    <d v="2025-03-01T00:00:00"/>
    <x v="1"/>
    <x v="0"/>
    <x v="0"/>
    <n v="119"/>
    <n v="28.68"/>
    <n v="3412.92"/>
    <n v="2671.73"/>
    <n v="741.19"/>
    <x v="4"/>
  </r>
  <r>
    <s v="ORD01667"/>
    <d v="2025-03-25T00:00:00"/>
    <x v="2"/>
    <x v="0"/>
    <x v="3"/>
    <n v="205"/>
    <n v="16.579999999999998"/>
    <n v="3398.9"/>
    <n v="2058.58"/>
    <n v="1340.32"/>
    <x v="4"/>
  </r>
  <r>
    <s v="ORD01668"/>
    <d v="2025-06-11T00:00:00"/>
    <x v="0"/>
    <x v="1"/>
    <x v="0"/>
    <n v="243"/>
    <n v="20.21"/>
    <n v="4911.03"/>
    <n v="3443.93"/>
    <n v="1467.1"/>
    <x v="0"/>
  </r>
  <r>
    <s v="ORD01669"/>
    <d v="2025-02-16T00:00:00"/>
    <x v="2"/>
    <x v="1"/>
    <x v="2"/>
    <n v="39"/>
    <n v="10.14"/>
    <n v="395.46"/>
    <n v="304.23"/>
    <n v="91.23"/>
    <x v="2"/>
  </r>
  <r>
    <s v="ORD01670"/>
    <d v="2025-03-01T00:00:00"/>
    <x v="1"/>
    <x v="0"/>
    <x v="2"/>
    <n v="273"/>
    <n v="36.28"/>
    <n v="9904.44"/>
    <n v="6583.88"/>
    <n v="3320.56"/>
    <x v="4"/>
  </r>
  <r>
    <s v="ORD01671"/>
    <d v="2025-11-29T00:00:00"/>
    <x v="0"/>
    <x v="2"/>
    <x v="3"/>
    <n v="257"/>
    <n v="38.799999999999997"/>
    <n v="9971.6"/>
    <n v="7943.95"/>
    <n v="2027.65"/>
    <x v="3"/>
  </r>
  <r>
    <s v="ORD01672"/>
    <d v="2025-03-01T00:00:00"/>
    <x v="0"/>
    <x v="1"/>
    <x v="2"/>
    <n v="179"/>
    <n v="35.47"/>
    <n v="6349.13"/>
    <n v="4363.6499999999996"/>
    <n v="1985.48"/>
    <x v="4"/>
  </r>
  <r>
    <s v="ORD01673"/>
    <d v="2025-07-14T00:00:00"/>
    <x v="2"/>
    <x v="2"/>
    <x v="2"/>
    <n v="35"/>
    <n v="17.66"/>
    <n v="618.1"/>
    <n v="374.74"/>
    <n v="243.36"/>
    <x v="8"/>
  </r>
  <r>
    <s v="ORD01674"/>
    <d v="2025-03-28T00:00:00"/>
    <x v="2"/>
    <x v="2"/>
    <x v="4"/>
    <n v="168"/>
    <n v="16.29"/>
    <n v="2736.72"/>
    <n v="2002.03"/>
    <n v="734.69"/>
    <x v="4"/>
  </r>
  <r>
    <s v="ORD01675"/>
    <d v="2025-08-11T00:00:00"/>
    <x v="4"/>
    <x v="0"/>
    <x v="1"/>
    <n v="275"/>
    <n v="13.16"/>
    <n v="3619"/>
    <n v="2435.7800000000002"/>
    <n v="1183.22"/>
    <x v="6"/>
  </r>
  <r>
    <s v="ORD01676"/>
    <d v="2025-09-15T00:00:00"/>
    <x v="4"/>
    <x v="0"/>
    <x v="5"/>
    <n v="148"/>
    <n v="27.88"/>
    <n v="4126.24"/>
    <n v="2995.26"/>
    <n v="1130.98"/>
    <x v="9"/>
  </r>
  <r>
    <s v="ORD01677"/>
    <d v="2025-03-10T00:00:00"/>
    <x v="3"/>
    <x v="0"/>
    <x v="0"/>
    <n v="37"/>
    <n v="18.52"/>
    <n v="685.24"/>
    <n v="525.46"/>
    <n v="159.78"/>
    <x v="4"/>
  </r>
  <r>
    <s v="ORD01678"/>
    <d v="2025-10-13T00:00:00"/>
    <x v="3"/>
    <x v="2"/>
    <x v="5"/>
    <n v="154"/>
    <n v="38.31"/>
    <n v="5899.74"/>
    <n v="4637.83"/>
    <n v="1261.9100000000001"/>
    <x v="1"/>
  </r>
  <r>
    <s v="ORD01679"/>
    <d v="2025-03-01T00:00:00"/>
    <x v="5"/>
    <x v="1"/>
    <x v="2"/>
    <n v="239"/>
    <n v="29.65"/>
    <n v="7086.35"/>
    <n v="4284.72"/>
    <n v="2801.63"/>
    <x v="4"/>
  </r>
  <r>
    <s v="ORD01680"/>
    <d v="2025-04-10T00:00:00"/>
    <x v="1"/>
    <x v="1"/>
    <x v="1"/>
    <n v="58"/>
    <n v="21.95"/>
    <n v="1273.0999999999999"/>
    <n v="841.75"/>
    <n v="431.35"/>
    <x v="7"/>
  </r>
  <r>
    <s v="ORD01681"/>
    <d v="2025-08-01T00:00:00"/>
    <x v="3"/>
    <x v="0"/>
    <x v="2"/>
    <n v="118"/>
    <n v="39.869999999999997"/>
    <n v="4704.66"/>
    <n v="3513.44"/>
    <n v="1191.22"/>
    <x v="6"/>
  </r>
  <r>
    <s v="ORD01682"/>
    <d v="2025-08-07T00:00:00"/>
    <x v="4"/>
    <x v="0"/>
    <x v="4"/>
    <n v="294"/>
    <n v="35.840000000000003"/>
    <n v="10536.96"/>
    <n v="8201.7999999999993"/>
    <n v="2335.16"/>
    <x v="6"/>
  </r>
  <r>
    <s v="ORD01683"/>
    <d v="2025-12-07T00:00:00"/>
    <x v="2"/>
    <x v="2"/>
    <x v="0"/>
    <n v="163"/>
    <n v="30.62"/>
    <n v="4991.0600000000004"/>
    <n v="3640.83"/>
    <n v="1350.23"/>
    <x v="5"/>
  </r>
  <r>
    <s v="ORD01684"/>
    <d v="2025-03-06T00:00:00"/>
    <x v="1"/>
    <x v="1"/>
    <x v="2"/>
    <n v="280"/>
    <n v="38.380000000000003"/>
    <n v="10746.4"/>
    <n v="7880.17"/>
    <n v="2866.23"/>
    <x v="4"/>
  </r>
  <r>
    <s v="ORD01685"/>
    <d v="2025-11-25T00:00:00"/>
    <x v="4"/>
    <x v="1"/>
    <x v="1"/>
    <n v="56"/>
    <n v="19.18"/>
    <n v="1074.08"/>
    <n v="845.76"/>
    <n v="228.32"/>
    <x v="3"/>
  </r>
  <r>
    <s v="ORD01686"/>
    <d v="2025-11-01T00:00:00"/>
    <x v="5"/>
    <x v="1"/>
    <x v="3"/>
    <n v="267"/>
    <n v="23.67"/>
    <n v="6319.89"/>
    <n v="3860.43"/>
    <n v="2459.46"/>
    <x v="3"/>
  </r>
  <r>
    <s v="ORD01687"/>
    <d v="2025-06-02T00:00:00"/>
    <x v="1"/>
    <x v="0"/>
    <x v="4"/>
    <n v="113"/>
    <n v="32.479999999999997"/>
    <n v="3670.24"/>
    <n v="2602.62"/>
    <n v="1067.6199999999999"/>
    <x v="0"/>
  </r>
  <r>
    <s v="ORD01688"/>
    <d v="2025-11-30T00:00:00"/>
    <x v="4"/>
    <x v="0"/>
    <x v="1"/>
    <n v="227"/>
    <n v="13.51"/>
    <n v="3066.77"/>
    <n v="2234.5700000000002"/>
    <n v="832.2"/>
    <x v="3"/>
  </r>
  <r>
    <s v="ORD01689"/>
    <d v="2025-01-07T00:00:00"/>
    <x v="3"/>
    <x v="2"/>
    <x v="3"/>
    <n v="214"/>
    <n v="35.22"/>
    <n v="7537.08"/>
    <n v="5649.18"/>
    <n v="1887.9"/>
    <x v="10"/>
  </r>
  <r>
    <s v="ORD01690"/>
    <d v="2025-03-01T00:00:00"/>
    <x v="5"/>
    <x v="0"/>
    <x v="5"/>
    <n v="50"/>
    <n v="26.95"/>
    <n v="1347.5"/>
    <n v="1013.69"/>
    <n v="333.81"/>
    <x v="4"/>
  </r>
  <r>
    <s v="ORD01691"/>
    <d v="2025-12-04T00:00:00"/>
    <x v="5"/>
    <x v="0"/>
    <x v="2"/>
    <n v="194"/>
    <n v="15.89"/>
    <n v="3082.66"/>
    <n v="2314.15"/>
    <n v="768.51"/>
    <x v="5"/>
  </r>
  <r>
    <s v="ORD01692"/>
    <d v="2025-03-13T00:00:00"/>
    <x v="3"/>
    <x v="2"/>
    <x v="5"/>
    <n v="157"/>
    <n v="24.19"/>
    <n v="3797.83"/>
    <n v="2904.93"/>
    <n v="892.9"/>
    <x v="4"/>
  </r>
  <r>
    <s v="ORD01693"/>
    <d v="2025-02-12T00:00:00"/>
    <x v="4"/>
    <x v="0"/>
    <x v="2"/>
    <n v="269"/>
    <n v="21.17"/>
    <n v="5694.73"/>
    <n v="4218.58"/>
    <n v="1476.15"/>
    <x v="2"/>
  </r>
  <r>
    <s v="ORD01694"/>
    <d v="2025-12-03T00:00:00"/>
    <x v="0"/>
    <x v="0"/>
    <x v="0"/>
    <n v="243"/>
    <n v="38.58"/>
    <n v="9374.94"/>
    <n v="6654.95"/>
    <n v="2719.99"/>
    <x v="5"/>
  </r>
  <r>
    <s v="ORD01695"/>
    <d v="2025-01-21T00:00:00"/>
    <x v="2"/>
    <x v="2"/>
    <x v="3"/>
    <n v="119"/>
    <n v="23.09"/>
    <n v="2747.71"/>
    <n v="2049.1"/>
    <n v="698.61"/>
    <x v="10"/>
  </r>
  <r>
    <s v="ORD01696"/>
    <d v="2025-11-26T00:00:00"/>
    <x v="0"/>
    <x v="1"/>
    <x v="3"/>
    <n v="110"/>
    <n v="15.97"/>
    <n v="1756.7"/>
    <n v="1274.3599999999999"/>
    <n v="482.34"/>
    <x v="3"/>
  </r>
  <r>
    <s v="ORD01697"/>
    <d v="2025-04-05T00:00:00"/>
    <x v="5"/>
    <x v="0"/>
    <x v="0"/>
    <n v="254"/>
    <n v="21.89"/>
    <n v="5560.06"/>
    <n v="4301.72"/>
    <n v="1258.3399999999999"/>
    <x v="7"/>
  </r>
  <r>
    <s v="ORD01698"/>
    <d v="2025-07-19T00:00:00"/>
    <x v="3"/>
    <x v="0"/>
    <x v="4"/>
    <n v="37"/>
    <n v="27.68"/>
    <n v="1024.1600000000001"/>
    <n v="722.09"/>
    <n v="302.07"/>
    <x v="8"/>
  </r>
  <r>
    <s v="ORD01699"/>
    <d v="2025-11-14T00:00:00"/>
    <x v="3"/>
    <x v="0"/>
    <x v="1"/>
    <n v="242"/>
    <n v="31.4"/>
    <n v="7598.8"/>
    <n v="5171.43"/>
    <n v="2427.37"/>
    <x v="3"/>
  </r>
  <r>
    <s v="ORD01700"/>
    <d v="2025-02-11T00:00:00"/>
    <x v="4"/>
    <x v="0"/>
    <x v="4"/>
    <n v="213"/>
    <n v="32.79"/>
    <n v="6984.27"/>
    <n v="4465.78"/>
    <n v="2518.4899999999998"/>
    <x v="2"/>
  </r>
  <r>
    <s v="ORD01701"/>
    <d v="2025-05-13T00:00:00"/>
    <x v="0"/>
    <x v="2"/>
    <x v="2"/>
    <n v="172"/>
    <n v="20.43"/>
    <n v="3513.96"/>
    <n v="2811"/>
    <n v="702.96"/>
    <x v="11"/>
  </r>
  <r>
    <s v="ORD01702"/>
    <d v="2025-06-14T00:00:00"/>
    <x v="5"/>
    <x v="2"/>
    <x v="1"/>
    <n v="300"/>
    <n v="33.81"/>
    <n v="10143"/>
    <n v="7282.65"/>
    <n v="2860.35"/>
    <x v="0"/>
  </r>
  <r>
    <s v="ORD01703"/>
    <d v="2025-03-08T00:00:00"/>
    <x v="1"/>
    <x v="1"/>
    <x v="1"/>
    <n v="210"/>
    <n v="36.979999999999997"/>
    <n v="7765.8"/>
    <n v="4743.76"/>
    <n v="3022.04"/>
    <x v="4"/>
  </r>
  <r>
    <s v="ORD01704"/>
    <d v="2025-04-06T00:00:00"/>
    <x v="1"/>
    <x v="1"/>
    <x v="4"/>
    <n v="294"/>
    <n v="25.23"/>
    <n v="7417.62"/>
    <n v="4900.8999999999996"/>
    <n v="2516.7199999999998"/>
    <x v="7"/>
  </r>
  <r>
    <s v="ORD01705"/>
    <d v="2025-07-08T00:00:00"/>
    <x v="5"/>
    <x v="0"/>
    <x v="2"/>
    <n v="223"/>
    <n v="32.130000000000003"/>
    <n v="7164.99"/>
    <n v="5419.99"/>
    <n v="1745"/>
    <x v="8"/>
  </r>
  <r>
    <s v="ORD01706"/>
    <d v="2025-08-25T00:00:00"/>
    <x v="0"/>
    <x v="2"/>
    <x v="4"/>
    <n v="141"/>
    <n v="15.23"/>
    <n v="2147.4299999999998"/>
    <n v="1438.31"/>
    <n v="709.12"/>
    <x v="6"/>
  </r>
  <r>
    <s v="ORD01707"/>
    <d v="2025-07-08T00:00:00"/>
    <x v="1"/>
    <x v="2"/>
    <x v="1"/>
    <n v="246"/>
    <n v="13.64"/>
    <n v="3355.44"/>
    <n v="2631.55"/>
    <n v="723.89"/>
    <x v="8"/>
  </r>
  <r>
    <s v="ORD01708"/>
    <d v="2025-06-12T00:00:00"/>
    <x v="3"/>
    <x v="0"/>
    <x v="5"/>
    <n v="225"/>
    <n v="32.659999999999997"/>
    <n v="7348.5"/>
    <n v="5459.15"/>
    <n v="1889.35"/>
    <x v="0"/>
  </r>
  <r>
    <s v="ORD01709"/>
    <d v="2025-12-16T00:00:00"/>
    <x v="1"/>
    <x v="0"/>
    <x v="5"/>
    <n v="298"/>
    <n v="14.77"/>
    <n v="4401.46"/>
    <n v="3172.01"/>
    <n v="1229.45"/>
    <x v="5"/>
  </r>
  <r>
    <s v="ORD01710"/>
    <d v="2025-12-20T00:00:00"/>
    <x v="4"/>
    <x v="2"/>
    <x v="3"/>
    <n v="86"/>
    <n v="34.200000000000003"/>
    <n v="2941.2"/>
    <n v="1921.12"/>
    <n v="1020.08"/>
    <x v="5"/>
  </r>
  <r>
    <s v="ORD01711"/>
    <d v="2025-02-14T00:00:00"/>
    <x v="4"/>
    <x v="1"/>
    <x v="2"/>
    <n v="199"/>
    <n v="17.78"/>
    <n v="3538.22"/>
    <n v="2356.27"/>
    <n v="1181.95"/>
    <x v="2"/>
  </r>
  <r>
    <s v="ORD01712"/>
    <d v="2025-04-04T00:00:00"/>
    <x v="2"/>
    <x v="0"/>
    <x v="0"/>
    <n v="120"/>
    <n v="22.67"/>
    <n v="2720.4"/>
    <n v="2099.09"/>
    <n v="621.30999999999995"/>
    <x v="7"/>
  </r>
  <r>
    <s v="ORD01713"/>
    <d v="2025-01-07T00:00:00"/>
    <x v="3"/>
    <x v="1"/>
    <x v="5"/>
    <n v="34"/>
    <n v="34.1"/>
    <n v="1159.4000000000001"/>
    <n v="889.84"/>
    <n v="269.56"/>
    <x v="10"/>
  </r>
  <r>
    <s v="ORD01714"/>
    <d v="2025-12-10T00:00:00"/>
    <x v="3"/>
    <x v="1"/>
    <x v="4"/>
    <n v="289"/>
    <n v="30.52"/>
    <n v="8820.2800000000007"/>
    <n v="6824.34"/>
    <n v="1995.94"/>
    <x v="5"/>
  </r>
  <r>
    <s v="ORD01715"/>
    <d v="2025-03-23T00:00:00"/>
    <x v="0"/>
    <x v="0"/>
    <x v="1"/>
    <n v="293"/>
    <n v="35.49"/>
    <n v="10398.57"/>
    <n v="6520.97"/>
    <n v="3877.6"/>
    <x v="4"/>
  </r>
  <r>
    <s v="ORD01716"/>
    <d v="2025-06-26T00:00:00"/>
    <x v="0"/>
    <x v="0"/>
    <x v="1"/>
    <n v="258"/>
    <n v="36.15"/>
    <n v="9326.7000000000007"/>
    <n v="7143.51"/>
    <n v="2183.19"/>
    <x v="0"/>
  </r>
  <r>
    <s v="ORD01717"/>
    <d v="2025-06-30T00:00:00"/>
    <x v="4"/>
    <x v="2"/>
    <x v="3"/>
    <n v="259"/>
    <n v="32.880000000000003"/>
    <n v="8515.92"/>
    <n v="5582.96"/>
    <n v="2932.96"/>
    <x v="0"/>
  </r>
  <r>
    <s v="ORD01718"/>
    <d v="2025-06-08T00:00:00"/>
    <x v="1"/>
    <x v="2"/>
    <x v="4"/>
    <n v="60"/>
    <n v="17.579999999999998"/>
    <n v="1054.8"/>
    <n v="758.77"/>
    <n v="296.02999999999997"/>
    <x v="0"/>
  </r>
  <r>
    <s v="ORD01719"/>
    <d v="2025-07-28T00:00:00"/>
    <x v="3"/>
    <x v="1"/>
    <x v="4"/>
    <n v="205"/>
    <n v="28.5"/>
    <n v="5842.5"/>
    <n v="4630.51"/>
    <n v="1211.99"/>
    <x v="8"/>
  </r>
  <r>
    <s v="ORD01720"/>
    <d v="2025-10-22T00:00:00"/>
    <x v="4"/>
    <x v="0"/>
    <x v="2"/>
    <n v="54"/>
    <n v="38.520000000000003"/>
    <n v="2080.08"/>
    <n v="1388.15"/>
    <n v="691.93"/>
    <x v="1"/>
  </r>
  <r>
    <s v="ORD01721"/>
    <d v="2025-02-02T00:00:00"/>
    <x v="2"/>
    <x v="1"/>
    <x v="2"/>
    <n v="217"/>
    <n v="12.41"/>
    <n v="2692.97"/>
    <n v="2056.2199999999998"/>
    <n v="636.75"/>
    <x v="2"/>
  </r>
  <r>
    <s v="ORD01722"/>
    <d v="2025-11-04T00:00:00"/>
    <x v="2"/>
    <x v="1"/>
    <x v="1"/>
    <n v="37"/>
    <n v="14.52"/>
    <n v="537.24"/>
    <n v="384.1"/>
    <n v="153.13999999999999"/>
    <x v="3"/>
  </r>
  <r>
    <s v="ORD01723"/>
    <d v="2025-07-26T00:00:00"/>
    <x v="4"/>
    <x v="2"/>
    <x v="0"/>
    <n v="98"/>
    <n v="22.5"/>
    <n v="2205"/>
    <n v="1635.49"/>
    <n v="569.51"/>
    <x v="8"/>
  </r>
  <r>
    <s v="ORD01724"/>
    <d v="2025-08-13T00:00:00"/>
    <x v="4"/>
    <x v="2"/>
    <x v="5"/>
    <n v="267"/>
    <n v="31.36"/>
    <n v="8373.1200000000008"/>
    <n v="6297.22"/>
    <n v="2075.9"/>
    <x v="6"/>
  </r>
  <r>
    <s v="ORD01725"/>
    <d v="2025-09-16T00:00:00"/>
    <x v="0"/>
    <x v="0"/>
    <x v="2"/>
    <n v="103"/>
    <n v="11.68"/>
    <n v="1203.04"/>
    <n v="805.79"/>
    <n v="397.25"/>
    <x v="9"/>
  </r>
  <r>
    <s v="ORD01726"/>
    <d v="2025-07-18T00:00:00"/>
    <x v="2"/>
    <x v="2"/>
    <x v="2"/>
    <n v="250"/>
    <n v="26.79"/>
    <n v="6697.5"/>
    <n v="4506.62"/>
    <n v="2190.88"/>
    <x v="8"/>
  </r>
  <r>
    <s v="ORD01727"/>
    <d v="2025-02-03T00:00:00"/>
    <x v="0"/>
    <x v="2"/>
    <x v="2"/>
    <n v="146"/>
    <n v="37.19"/>
    <n v="5429.74"/>
    <n v="3361.01"/>
    <n v="2068.73"/>
    <x v="2"/>
  </r>
  <r>
    <s v="ORD01728"/>
    <d v="2025-07-29T00:00:00"/>
    <x v="1"/>
    <x v="1"/>
    <x v="2"/>
    <n v="113"/>
    <n v="36.5"/>
    <n v="4124.5"/>
    <n v="2737.88"/>
    <n v="1386.62"/>
    <x v="8"/>
  </r>
  <r>
    <s v="ORD01729"/>
    <d v="2025-02-07T00:00:00"/>
    <x v="5"/>
    <x v="2"/>
    <x v="3"/>
    <n v="188"/>
    <n v="21.68"/>
    <n v="4075.84"/>
    <n v="2709.49"/>
    <n v="1366.35"/>
    <x v="2"/>
  </r>
  <r>
    <s v="ORD01730"/>
    <d v="2025-05-03T00:00:00"/>
    <x v="5"/>
    <x v="2"/>
    <x v="5"/>
    <n v="165"/>
    <n v="14.82"/>
    <n v="2445.3000000000002"/>
    <n v="1635.03"/>
    <n v="810.27"/>
    <x v="11"/>
  </r>
  <r>
    <s v="ORD01731"/>
    <d v="2025-08-27T00:00:00"/>
    <x v="5"/>
    <x v="2"/>
    <x v="0"/>
    <n v="269"/>
    <n v="33.630000000000003"/>
    <n v="9046.4699999999993"/>
    <n v="5626.03"/>
    <n v="3420.44"/>
    <x v="6"/>
  </r>
  <r>
    <s v="ORD01732"/>
    <d v="2025-09-01T00:00:00"/>
    <x v="4"/>
    <x v="2"/>
    <x v="5"/>
    <n v="46"/>
    <n v="18.920000000000002"/>
    <n v="870.32"/>
    <n v="554.72"/>
    <n v="315.60000000000002"/>
    <x v="9"/>
  </r>
  <r>
    <s v="ORD01733"/>
    <d v="2025-07-24T00:00:00"/>
    <x v="1"/>
    <x v="1"/>
    <x v="2"/>
    <n v="255"/>
    <n v="37.39"/>
    <n v="9534.4500000000007"/>
    <n v="6509.76"/>
    <n v="3024.69"/>
    <x v="8"/>
  </r>
  <r>
    <s v="ORD01734"/>
    <d v="2025-05-12T00:00:00"/>
    <x v="1"/>
    <x v="0"/>
    <x v="4"/>
    <n v="234"/>
    <n v="24.67"/>
    <n v="5772.78"/>
    <n v="3976.47"/>
    <n v="1796.31"/>
    <x v="11"/>
  </r>
  <r>
    <s v="ORD01735"/>
    <d v="2025-07-27T00:00:00"/>
    <x v="0"/>
    <x v="2"/>
    <x v="3"/>
    <n v="245"/>
    <n v="19.29"/>
    <n v="4726.05"/>
    <n v="3779.46"/>
    <n v="946.59"/>
    <x v="8"/>
  </r>
  <r>
    <s v="ORD01736"/>
    <d v="2025-01-02T00:00:00"/>
    <x v="1"/>
    <x v="0"/>
    <x v="2"/>
    <n v="166"/>
    <n v="22.03"/>
    <n v="3656.98"/>
    <n v="2584.4699999999998"/>
    <n v="1072.51"/>
    <x v="10"/>
  </r>
  <r>
    <s v="ORD01737"/>
    <d v="2025-03-18T00:00:00"/>
    <x v="3"/>
    <x v="2"/>
    <x v="1"/>
    <n v="63"/>
    <n v="27.41"/>
    <n v="1726.83"/>
    <n v="1129.72"/>
    <n v="597.11"/>
    <x v="4"/>
  </r>
  <r>
    <s v="ORD01738"/>
    <d v="2025-05-29T00:00:00"/>
    <x v="5"/>
    <x v="0"/>
    <x v="4"/>
    <n v="235"/>
    <n v="15.14"/>
    <n v="3557.9"/>
    <n v="2609.4899999999998"/>
    <n v="948.41"/>
    <x v="11"/>
  </r>
  <r>
    <s v="ORD01739"/>
    <d v="2025-08-05T00:00:00"/>
    <x v="1"/>
    <x v="1"/>
    <x v="5"/>
    <n v="64"/>
    <n v="38.200000000000003"/>
    <n v="2444.8000000000002"/>
    <n v="1471.89"/>
    <n v="972.91"/>
    <x v="6"/>
  </r>
  <r>
    <s v="ORD01740"/>
    <d v="2025-09-09T00:00:00"/>
    <x v="0"/>
    <x v="1"/>
    <x v="3"/>
    <n v="186"/>
    <n v="13.03"/>
    <n v="2423.58"/>
    <n v="1732.47"/>
    <n v="691.11"/>
    <x v="9"/>
  </r>
  <r>
    <s v="ORD01741"/>
    <d v="2025-07-01T00:00:00"/>
    <x v="1"/>
    <x v="1"/>
    <x v="0"/>
    <n v="44"/>
    <n v="23.35"/>
    <n v="1027.4000000000001"/>
    <n v="798.71"/>
    <n v="228.69"/>
    <x v="8"/>
  </r>
  <r>
    <s v="ORD01742"/>
    <d v="2025-02-05T00:00:00"/>
    <x v="3"/>
    <x v="1"/>
    <x v="5"/>
    <n v="117"/>
    <n v="20.73"/>
    <n v="2425.41"/>
    <n v="1851.43"/>
    <n v="573.98"/>
    <x v="2"/>
  </r>
  <r>
    <s v="ORD01743"/>
    <d v="2025-11-24T00:00:00"/>
    <x v="5"/>
    <x v="2"/>
    <x v="4"/>
    <n v="62"/>
    <n v="11.21"/>
    <n v="695.02"/>
    <n v="507.09"/>
    <n v="187.93"/>
    <x v="3"/>
  </r>
  <r>
    <s v="ORD01744"/>
    <d v="2025-04-18T00:00:00"/>
    <x v="1"/>
    <x v="2"/>
    <x v="0"/>
    <n v="223"/>
    <n v="30.05"/>
    <n v="6701.15"/>
    <n v="4457.1499999999996"/>
    <n v="2244"/>
    <x v="7"/>
  </r>
  <r>
    <s v="ORD01745"/>
    <d v="2025-06-27T00:00:00"/>
    <x v="2"/>
    <x v="2"/>
    <x v="5"/>
    <n v="292"/>
    <n v="22.3"/>
    <n v="6511.6"/>
    <n v="4385.67"/>
    <n v="2125.9299999999998"/>
    <x v="0"/>
  </r>
  <r>
    <s v="ORD01746"/>
    <d v="2025-08-15T00:00:00"/>
    <x v="0"/>
    <x v="2"/>
    <x v="0"/>
    <n v="181"/>
    <n v="15.07"/>
    <n v="2727.67"/>
    <n v="1911.24"/>
    <n v="816.43"/>
    <x v="6"/>
  </r>
  <r>
    <s v="ORD01747"/>
    <d v="2025-12-12T00:00:00"/>
    <x v="4"/>
    <x v="2"/>
    <x v="2"/>
    <n v="100"/>
    <n v="22.88"/>
    <n v="2288"/>
    <n v="1576.6"/>
    <n v="711.4"/>
    <x v="5"/>
  </r>
  <r>
    <s v="ORD01748"/>
    <d v="2025-10-18T00:00:00"/>
    <x v="5"/>
    <x v="0"/>
    <x v="2"/>
    <n v="203"/>
    <n v="20.23"/>
    <n v="4106.6899999999996"/>
    <n v="2916.58"/>
    <n v="1190.1099999999999"/>
    <x v="1"/>
  </r>
  <r>
    <s v="ORD01749"/>
    <d v="2025-10-18T00:00:00"/>
    <x v="5"/>
    <x v="2"/>
    <x v="5"/>
    <n v="212"/>
    <n v="28.55"/>
    <n v="6052.6"/>
    <n v="3800.97"/>
    <n v="2251.63"/>
    <x v="1"/>
  </r>
  <r>
    <s v="ORD01750"/>
    <d v="2025-11-28T00:00:00"/>
    <x v="0"/>
    <x v="2"/>
    <x v="0"/>
    <n v="33"/>
    <n v="19.12"/>
    <n v="630.96"/>
    <n v="474.86"/>
    <n v="156.1"/>
    <x v="3"/>
  </r>
  <r>
    <s v="ORD01751"/>
    <d v="2025-07-08T00:00:00"/>
    <x v="5"/>
    <x v="0"/>
    <x v="1"/>
    <n v="268"/>
    <n v="33.17"/>
    <n v="8889.56"/>
    <n v="6540.64"/>
    <n v="2348.92"/>
    <x v="8"/>
  </r>
  <r>
    <s v="ORD01752"/>
    <d v="2025-06-18T00:00:00"/>
    <x v="3"/>
    <x v="2"/>
    <x v="3"/>
    <n v="17"/>
    <n v="37.17"/>
    <n v="631.89"/>
    <n v="463.97"/>
    <n v="167.92"/>
    <x v="0"/>
  </r>
  <r>
    <s v="ORD01753"/>
    <d v="2025-06-02T00:00:00"/>
    <x v="4"/>
    <x v="2"/>
    <x v="5"/>
    <n v="33"/>
    <n v="21.06"/>
    <n v="694.98"/>
    <n v="445.65"/>
    <n v="249.33"/>
    <x v="0"/>
  </r>
  <r>
    <s v="ORD01754"/>
    <d v="2025-08-27T00:00:00"/>
    <x v="3"/>
    <x v="1"/>
    <x v="1"/>
    <n v="226"/>
    <n v="34.11"/>
    <n v="7708.86"/>
    <n v="4658.16"/>
    <n v="3050.7"/>
    <x v="6"/>
  </r>
  <r>
    <s v="ORD01755"/>
    <d v="2025-11-08T00:00:00"/>
    <x v="3"/>
    <x v="1"/>
    <x v="4"/>
    <n v="191"/>
    <n v="18.899999999999999"/>
    <n v="3609.9"/>
    <n v="2652.97"/>
    <n v="956.93"/>
    <x v="3"/>
  </r>
  <r>
    <s v="ORD01756"/>
    <d v="2025-02-28T00:00:00"/>
    <x v="3"/>
    <x v="2"/>
    <x v="1"/>
    <n v="75"/>
    <n v="10.39"/>
    <n v="779.25"/>
    <n v="597.75"/>
    <n v="181.5"/>
    <x v="2"/>
  </r>
  <r>
    <s v="ORD01757"/>
    <d v="2025-05-30T00:00:00"/>
    <x v="3"/>
    <x v="0"/>
    <x v="1"/>
    <n v="25"/>
    <n v="37.83"/>
    <n v="945.75"/>
    <n v="703"/>
    <n v="242.75"/>
    <x v="11"/>
  </r>
  <r>
    <s v="ORD01758"/>
    <d v="2025-06-14T00:00:00"/>
    <x v="5"/>
    <x v="2"/>
    <x v="0"/>
    <n v="252"/>
    <n v="11.77"/>
    <n v="2966.04"/>
    <n v="2085.7199999999998"/>
    <n v="880.32"/>
    <x v="0"/>
  </r>
  <r>
    <s v="ORD01759"/>
    <d v="2025-11-24T00:00:00"/>
    <x v="4"/>
    <x v="2"/>
    <x v="4"/>
    <n v="131"/>
    <n v="39.54"/>
    <n v="5179.74"/>
    <n v="3204.82"/>
    <n v="1974.92"/>
    <x v="3"/>
  </r>
  <r>
    <s v="ORD01760"/>
    <d v="2025-08-11T00:00:00"/>
    <x v="5"/>
    <x v="1"/>
    <x v="0"/>
    <n v="158"/>
    <n v="16.98"/>
    <n v="2682.84"/>
    <n v="2056.34"/>
    <n v="626.5"/>
    <x v="6"/>
  </r>
  <r>
    <s v="ORD01761"/>
    <d v="2025-08-29T00:00:00"/>
    <x v="0"/>
    <x v="0"/>
    <x v="1"/>
    <n v="95"/>
    <n v="33.89"/>
    <n v="3219.55"/>
    <n v="1947.8"/>
    <n v="1271.75"/>
    <x v="6"/>
  </r>
  <r>
    <s v="ORD01762"/>
    <d v="2025-11-20T00:00:00"/>
    <x v="0"/>
    <x v="0"/>
    <x v="0"/>
    <n v="274"/>
    <n v="22.76"/>
    <n v="6236.24"/>
    <n v="4767.75"/>
    <n v="1468.49"/>
    <x v="3"/>
  </r>
  <r>
    <s v="ORD01763"/>
    <d v="2025-06-17T00:00:00"/>
    <x v="5"/>
    <x v="0"/>
    <x v="1"/>
    <n v="263"/>
    <n v="33.19"/>
    <n v="8728.9699999999993"/>
    <n v="6280.75"/>
    <n v="2448.2199999999998"/>
    <x v="0"/>
  </r>
  <r>
    <s v="ORD01764"/>
    <d v="2025-12-01T00:00:00"/>
    <x v="3"/>
    <x v="0"/>
    <x v="3"/>
    <n v="25"/>
    <n v="10.31"/>
    <n v="257.75"/>
    <n v="175.53"/>
    <n v="82.22"/>
    <x v="5"/>
  </r>
  <r>
    <s v="ORD01765"/>
    <d v="2025-08-25T00:00:00"/>
    <x v="5"/>
    <x v="0"/>
    <x v="2"/>
    <n v="283"/>
    <n v="22.86"/>
    <n v="6469.38"/>
    <n v="4074.46"/>
    <n v="2394.92"/>
    <x v="6"/>
  </r>
  <r>
    <s v="ORD01766"/>
    <d v="2025-11-04T00:00:00"/>
    <x v="1"/>
    <x v="2"/>
    <x v="4"/>
    <n v="31"/>
    <n v="25.73"/>
    <n v="797.63"/>
    <n v="593.9"/>
    <n v="203.73"/>
    <x v="3"/>
  </r>
  <r>
    <s v="ORD01767"/>
    <d v="2025-06-19T00:00:00"/>
    <x v="2"/>
    <x v="2"/>
    <x v="4"/>
    <n v="104"/>
    <n v="35.79"/>
    <n v="3722.16"/>
    <n v="2637.67"/>
    <n v="1084.49"/>
    <x v="0"/>
  </r>
  <r>
    <s v="ORD01768"/>
    <d v="2025-12-24T00:00:00"/>
    <x v="3"/>
    <x v="0"/>
    <x v="1"/>
    <n v="126"/>
    <n v="22.26"/>
    <n v="2804.76"/>
    <n v="2214.38"/>
    <n v="590.38"/>
    <x v="5"/>
  </r>
  <r>
    <s v="ORD01769"/>
    <d v="2025-02-24T00:00:00"/>
    <x v="5"/>
    <x v="0"/>
    <x v="2"/>
    <n v="87"/>
    <n v="31.96"/>
    <n v="2780.52"/>
    <n v="1869.53"/>
    <n v="910.99"/>
    <x v="2"/>
  </r>
  <r>
    <s v="ORD01770"/>
    <d v="2025-05-16T00:00:00"/>
    <x v="2"/>
    <x v="1"/>
    <x v="4"/>
    <n v="73"/>
    <n v="33.450000000000003"/>
    <n v="2441.85"/>
    <n v="1679.29"/>
    <n v="762.56"/>
    <x v="11"/>
  </r>
  <r>
    <s v="ORD01771"/>
    <d v="2025-04-13T00:00:00"/>
    <x v="0"/>
    <x v="2"/>
    <x v="4"/>
    <n v="44"/>
    <n v="14.03"/>
    <n v="617.32000000000005"/>
    <n v="376.22"/>
    <n v="241.1"/>
    <x v="7"/>
  </r>
  <r>
    <s v="ORD01772"/>
    <d v="2025-03-13T00:00:00"/>
    <x v="3"/>
    <x v="2"/>
    <x v="3"/>
    <n v="146"/>
    <n v="26.41"/>
    <n v="3855.86"/>
    <n v="3032.52"/>
    <n v="823.34"/>
    <x v="4"/>
  </r>
  <r>
    <s v="ORD01773"/>
    <d v="2025-05-05T00:00:00"/>
    <x v="5"/>
    <x v="2"/>
    <x v="5"/>
    <n v="158"/>
    <n v="26.95"/>
    <n v="4258.1000000000004"/>
    <n v="2941.06"/>
    <n v="1317.04"/>
    <x v="11"/>
  </r>
  <r>
    <s v="ORD01774"/>
    <d v="2025-09-20T00:00:00"/>
    <x v="3"/>
    <x v="0"/>
    <x v="2"/>
    <n v="66"/>
    <n v="23.65"/>
    <n v="1560.9"/>
    <n v="1223.49"/>
    <n v="337.41"/>
    <x v="9"/>
  </r>
  <r>
    <s v="ORD01775"/>
    <d v="2025-06-04T00:00:00"/>
    <x v="3"/>
    <x v="0"/>
    <x v="1"/>
    <n v="289"/>
    <n v="23.1"/>
    <n v="6675.9"/>
    <n v="4213.08"/>
    <n v="2462.8200000000002"/>
    <x v="0"/>
  </r>
  <r>
    <s v="ORD01776"/>
    <d v="2025-07-18T00:00:00"/>
    <x v="2"/>
    <x v="0"/>
    <x v="0"/>
    <n v="156"/>
    <n v="17.5"/>
    <n v="2730"/>
    <n v="2167.79"/>
    <n v="562.21"/>
    <x v="8"/>
  </r>
  <r>
    <s v="ORD01777"/>
    <d v="2025-08-04T00:00:00"/>
    <x v="0"/>
    <x v="1"/>
    <x v="0"/>
    <n v="129"/>
    <n v="19.260000000000002"/>
    <n v="2484.54"/>
    <n v="1952.31"/>
    <n v="532.23"/>
    <x v="6"/>
  </r>
  <r>
    <s v="ORD01778"/>
    <d v="2025-08-29T00:00:00"/>
    <x v="4"/>
    <x v="1"/>
    <x v="2"/>
    <n v="136"/>
    <n v="19.670000000000002"/>
    <n v="2675.12"/>
    <n v="1973.71"/>
    <n v="701.41"/>
    <x v="6"/>
  </r>
  <r>
    <s v="ORD01779"/>
    <d v="2025-08-13T00:00:00"/>
    <x v="0"/>
    <x v="2"/>
    <x v="2"/>
    <n v="23"/>
    <n v="30.03"/>
    <n v="690.69"/>
    <n v="486.76"/>
    <n v="203.93"/>
    <x v="6"/>
  </r>
  <r>
    <s v="ORD01780"/>
    <d v="2025-12-16T00:00:00"/>
    <x v="3"/>
    <x v="1"/>
    <x v="0"/>
    <n v="143"/>
    <n v="26.18"/>
    <n v="3743.74"/>
    <n v="2425.3200000000002"/>
    <n v="1318.42"/>
    <x v="5"/>
  </r>
  <r>
    <s v="ORD01781"/>
    <d v="2025-06-11T00:00:00"/>
    <x v="5"/>
    <x v="0"/>
    <x v="3"/>
    <n v="104"/>
    <n v="39.82"/>
    <n v="4141.28"/>
    <n v="2872.53"/>
    <n v="1268.75"/>
    <x v="0"/>
  </r>
  <r>
    <s v="ORD01782"/>
    <d v="2025-08-10T00:00:00"/>
    <x v="3"/>
    <x v="2"/>
    <x v="1"/>
    <n v="146"/>
    <n v="16.87"/>
    <n v="2463.02"/>
    <n v="1877.79"/>
    <n v="585.23"/>
    <x v="6"/>
  </r>
  <r>
    <s v="ORD01783"/>
    <d v="2025-03-09T00:00:00"/>
    <x v="1"/>
    <x v="1"/>
    <x v="3"/>
    <n v="162"/>
    <n v="38.92"/>
    <n v="6305.04"/>
    <n v="5020.13"/>
    <n v="1284.9100000000001"/>
    <x v="4"/>
  </r>
  <r>
    <s v="ORD01784"/>
    <d v="2025-10-04T00:00:00"/>
    <x v="5"/>
    <x v="1"/>
    <x v="1"/>
    <n v="27"/>
    <n v="29.45"/>
    <n v="795.15"/>
    <n v="530.34"/>
    <n v="264.81"/>
    <x v="1"/>
  </r>
  <r>
    <s v="ORD01785"/>
    <d v="2025-06-20T00:00:00"/>
    <x v="0"/>
    <x v="2"/>
    <x v="1"/>
    <n v="295"/>
    <n v="21.44"/>
    <n v="6324.8"/>
    <n v="4730.67"/>
    <n v="1594.13"/>
    <x v="0"/>
  </r>
  <r>
    <s v="ORD01786"/>
    <d v="2025-04-09T00:00:00"/>
    <x v="5"/>
    <x v="0"/>
    <x v="1"/>
    <n v="85"/>
    <n v="19.47"/>
    <n v="1654.95"/>
    <n v="1140.9100000000001"/>
    <n v="514.04"/>
    <x v="7"/>
  </r>
  <r>
    <s v="ORD01787"/>
    <d v="2025-08-26T00:00:00"/>
    <x v="1"/>
    <x v="0"/>
    <x v="3"/>
    <n v="278"/>
    <n v="38.75"/>
    <n v="10772.5"/>
    <n v="6892.57"/>
    <n v="3879.93"/>
    <x v="6"/>
  </r>
  <r>
    <s v="ORD01788"/>
    <d v="2025-03-06T00:00:00"/>
    <x v="3"/>
    <x v="2"/>
    <x v="1"/>
    <n v="300"/>
    <n v="31.51"/>
    <n v="9453"/>
    <n v="5748.79"/>
    <n v="3704.21"/>
    <x v="4"/>
  </r>
  <r>
    <s v="ORD01789"/>
    <d v="2025-06-12T00:00:00"/>
    <x v="3"/>
    <x v="1"/>
    <x v="2"/>
    <n v="106"/>
    <n v="22.24"/>
    <n v="2357.44"/>
    <n v="1576.51"/>
    <n v="780.93"/>
    <x v="0"/>
  </r>
  <r>
    <s v="ORD01790"/>
    <d v="2025-08-25T00:00:00"/>
    <x v="0"/>
    <x v="1"/>
    <x v="5"/>
    <n v="274"/>
    <n v="39.74"/>
    <n v="10888.76"/>
    <n v="8164.04"/>
    <n v="2724.72"/>
    <x v="6"/>
  </r>
  <r>
    <s v="ORD01791"/>
    <d v="2025-10-03T00:00:00"/>
    <x v="3"/>
    <x v="2"/>
    <x v="5"/>
    <n v="262"/>
    <n v="38.409999999999997"/>
    <n v="10063.42"/>
    <n v="6503.48"/>
    <n v="3559.94"/>
    <x v="1"/>
  </r>
  <r>
    <s v="ORD01792"/>
    <d v="2025-10-14T00:00:00"/>
    <x v="2"/>
    <x v="0"/>
    <x v="0"/>
    <n v="277"/>
    <n v="13.09"/>
    <n v="3625.93"/>
    <n v="2585.64"/>
    <n v="1040.29"/>
    <x v="1"/>
  </r>
  <r>
    <s v="ORD01793"/>
    <d v="2025-12-03T00:00:00"/>
    <x v="1"/>
    <x v="0"/>
    <x v="2"/>
    <n v="154"/>
    <n v="18.39"/>
    <n v="2832.06"/>
    <n v="1999.05"/>
    <n v="833.01"/>
    <x v="5"/>
  </r>
  <r>
    <s v="ORD01794"/>
    <d v="2025-09-26T00:00:00"/>
    <x v="2"/>
    <x v="2"/>
    <x v="3"/>
    <n v="135"/>
    <n v="19.309999999999999"/>
    <n v="2606.85"/>
    <n v="1993.36"/>
    <n v="613.49"/>
    <x v="9"/>
  </r>
  <r>
    <s v="ORD01795"/>
    <d v="2025-04-02T00:00:00"/>
    <x v="5"/>
    <x v="1"/>
    <x v="1"/>
    <n v="220"/>
    <n v="12.11"/>
    <n v="2664.2"/>
    <n v="1721.75"/>
    <n v="942.45"/>
    <x v="7"/>
  </r>
  <r>
    <s v="ORD01796"/>
    <d v="2025-02-15T00:00:00"/>
    <x v="0"/>
    <x v="0"/>
    <x v="2"/>
    <n v="161"/>
    <n v="31.81"/>
    <n v="5121.41"/>
    <n v="3449.57"/>
    <n v="1671.84"/>
    <x v="2"/>
  </r>
  <r>
    <s v="ORD01797"/>
    <d v="2025-08-07T00:00:00"/>
    <x v="5"/>
    <x v="0"/>
    <x v="2"/>
    <n v="127"/>
    <n v="29.42"/>
    <n v="3736.34"/>
    <n v="2418.5"/>
    <n v="1317.84"/>
    <x v="6"/>
  </r>
  <r>
    <s v="ORD01798"/>
    <d v="2025-01-07T00:00:00"/>
    <x v="5"/>
    <x v="1"/>
    <x v="2"/>
    <n v="293"/>
    <n v="26.43"/>
    <n v="7743.99"/>
    <n v="6074.59"/>
    <n v="1669.4"/>
    <x v="10"/>
  </r>
  <r>
    <s v="ORD01799"/>
    <d v="2025-04-29T00:00:00"/>
    <x v="5"/>
    <x v="2"/>
    <x v="5"/>
    <n v="117"/>
    <n v="28.44"/>
    <n v="3327.48"/>
    <n v="2248.36"/>
    <n v="1079.1199999999999"/>
    <x v="7"/>
  </r>
  <r>
    <s v="ORD01800"/>
    <d v="2025-12-05T00:00:00"/>
    <x v="4"/>
    <x v="1"/>
    <x v="4"/>
    <n v="121"/>
    <n v="31.45"/>
    <n v="3805.45"/>
    <n v="2883.11"/>
    <n v="922.34"/>
    <x v="5"/>
  </r>
  <r>
    <s v="ORD01801"/>
    <d v="2025-04-28T00:00:00"/>
    <x v="2"/>
    <x v="0"/>
    <x v="1"/>
    <n v="277"/>
    <n v="20.34"/>
    <n v="5634.18"/>
    <n v="3595.93"/>
    <n v="2038.25"/>
    <x v="7"/>
  </r>
  <r>
    <s v="ORD01802"/>
    <d v="2025-08-15T00:00:00"/>
    <x v="5"/>
    <x v="0"/>
    <x v="1"/>
    <n v="83"/>
    <n v="18.63"/>
    <n v="1546.29"/>
    <n v="936.56"/>
    <n v="609.73"/>
    <x v="6"/>
  </r>
  <r>
    <s v="ORD01803"/>
    <d v="2025-11-10T00:00:00"/>
    <x v="4"/>
    <x v="1"/>
    <x v="1"/>
    <n v="119"/>
    <n v="22.24"/>
    <n v="2646.56"/>
    <n v="1963.78"/>
    <n v="682.78"/>
    <x v="3"/>
  </r>
  <r>
    <s v="ORD01804"/>
    <d v="2025-09-05T00:00:00"/>
    <x v="4"/>
    <x v="1"/>
    <x v="0"/>
    <n v="119"/>
    <n v="14.28"/>
    <n v="1699.32"/>
    <n v="1054.23"/>
    <n v="645.09"/>
    <x v="9"/>
  </r>
  <r>
    <s v="ORD01805"/>
    <d v="2025-08-07T00:00:00"/>
    <x v="1"/>
    <x v="1"/>
    <x v="5"/>
    <n v="199"/>
    <n v="21.98"/>
    <n v="4374.0200000000004"/>
    <n v="2818.11"/>
    <n v="1555.91"/>
    <x v="6"/>
  </r>
  <r>
    <s v="ORD01806"/>
    <d v="2025-05-21T00:00:00"/>
    <x v="1"/>
    <x v="0"/>
    <x v="2"/>
    <n v="223"/>
    <n v="37.44"/>
    <n v="8349.1200000000008"/>
    <n v="5394.88"/>
    <n v="2954.24"/>
    <x v="11"/>
  </r>
  <r>
    <s v="ORD01807"/>
    <d v="2025-07-24T00:00:00"/>
    <x v="1"/>
    <x v="0"/>
    <x v="3"/>
    <n v="289"/>
    <n v="25.92"/>
    <n v="7490.88"/>
    <n v="4834.04"/>
    <n v="2656.84"/>
    <x v="8"/>
  </r>
  <r>
    <s v="ORD01808"/>
    <d v="2025-11-08T00:00:00"/>
    <x v="2"/>
    <x v="0"/>
    <x v="5"/>
    <n v="240"/>
    <n v="22.52"/>
    <n v="5404.8"/>
    <n v="3393.61"/>
    <n v="2011.19"/>
    <x v="3"/>
  </r>
  <r>
    <s v="ORD01809"/>
    <d v="2025-03-29T00:00:00"/>
    <x v="2"/>
    <x v="2"/>
    <x v="2"/>
    <n v="288"/>
    <n v="23.11"/>
    <n v="6655.68"/>
    <n v="4597"/>
    <n v="2058.6799999999998"/>
    <x v="4"/>
  </r>
  <r>
    <s v="ORD01810"/>
    <d v="2025-06-13T00:00:00"/>
    <x v="4"/>
    <x v="1"/>
    <x v="1"/>
    <n v="244"/>
    <n v="21.12"/>
    <n v="5153.28"/>
    <n v="3671.98"/>
    <n v="1481.3"/>
    <x v="0"/>
  </r>
  <r>
    <s v="ORD01811"/>
    <d v="2025-03-25T00:00:00"/>
    <x v="2"/>
    <x v="0"/>
    <x v="2"/>
    <n v="71"/>
    <n v="32.869999999999997"/>
    <n v="2333.77"/>
    <n v="1602.32"/>
    <n v="731.45"/>
    <x v="4"/>
  </r>
  <r>
    <s v="ORD01812"/>
    <d v="2025-06-27T00:00:00"/>
    <x v="3"/>
    <x v="0"/>
    <x v="4"/>
    <n v="127"/>
    <n v="17.38"/>
    <n v="2207.2600000000002"/>
    <n v="1697.15"/>
    <n v="510.11"/>
    <x v="0"/>
  </r>
  <r>
    <s v="ORD01813"/>
    <d v="2025-04-06T00:00:00"/>
    <x v="3"/>
    <x v="1"/>
    <x v="4"/>
    <n v="290"/>
    <n v="34.93"/>
    <n v="10129.700000000001"/>
    <n v="6932.47"/>
    <n v="3197.23"/>
    <x v="7"/>
  </r>
  <r>
    <s v="ORD01814"/>
    <d v="2025-03-28T00:00:00"/>
    <x v="4"/>
    <x v="0"/>
    <x v="5"/>
    <n v="144"/>
    <n v="29.15"/>
    <n v="4197.6000000000004"/>
    <n v="2699.96"/>
    <n v="1497.64"/>
    <x v="4"/>
  </r>
  <r>
    <s v="ORD01815"/>
    <d v="2025-12-13T00:00:00"/>
    <x v="4"/>
    <x v="1"/>
    <x v="2"/>
    <n v="81"/>
    <n v="35.950000000000003"/>
    <n v="2911.95"/>
    <n v="1851.41"/>
    <n v="1060.54"/>
    <x v="5"/>
  </r>
  <r>
    <s v="ORD01816"/>
    <d v="2025-09-14T00:00:00"/>
    <x v="1"/>
    <x v="0"/>
    <x v="1"/>
    <n v="20"/>
    <n v="25.45"/>
    <n v="509"/>
    <n v="379.53"/>
    <n v="129.47"/>
    <x v="9"/>
  </r>
  <r>
    <s v="ORD01817"/>
    <d v="2025-05-13T00:00:00"/>
    <x v="4"/>
    <x v="1"/>
    <x v="2"/>
    <n v="139"/>
    <n v="15.18"/>
    <n v="2110.02"/>
    <n v="1597.72"/>
    <n v="512.29999999999995"/>
    <x v="11"/>
  </r>
  <r>
    <s v="ORD01818"/>
    <d v="2025-09-08T00:00:00"/>
    <x v="5"/>
    <x v="2"/>
    <x v="1"/>
    <n v="161"/>
    <n v="30.76"/>
    <n v="4952.3599999999997"/>
    <n v="3053.98"/>
    <n v="1898.38"/>
    <x v="9"/>
  </r>
  <r>
    <s v="ORD01819"/>
    <d v="2025-05-19T00:00:00"/>
    <x v="1"/>
    <x v="1"/>
    <x v="3"/>
    <n v="246"/>
    <n v="17.420000000000002"/>
    <n v="4285.32"/>
    <n v="3191.59"/>
    <n v="1093.73"/>
    <x v="11"/>
  </r>
  <r>
    <s v="ORD01820"/>
    <d v="2025-10-27T00:00:00"/>
    <x v="1"/>
    <x v="1"/>
    <x v="5"/>
    <n v="123"/>
    <n v="38.76"/>
    <n v="4767.4799999999996"/>
    <n v="3770.51"/>
    <n v="996.97"/>
    <x v="1"/>
  </r>
  <r>
    <s v="ORD01821"/>
    <d v="2025-11-06T00:00:00"/>
    <x v="1"/>
    <x v="1"/>
    <x v="1"/>
    <n v="58"/>
    <n v="26.26"/>
    <n v="1523.08"/>
    <n v="927.09"/>
    <n v="595.99"/>
    <x v="3"/>
  </r>
  <r>
    <s v="ORD01822"/>
    <d v="2025-03-17T00:00:00"/>
    <x v="4"/>
    <x v="1"/>
    <x v="3"/>
    <n v="289"/>
    <n v="24.87"/>
    <n v="7187.43"/>
    <n v="5620.01"/>
    <n v="1567.42"/>
    <x v="4"/>
  </r>
  <r>
    <s v="ORD01823"/>
    <d v="2025-07-29T00:00:00"/>
    <x v="0"/>
    <x v="2"/>
    <x v="1"/>
    <n v="69"/>
    <n v="13.52"/>
    <n v="932.88"/>
    <n v="667.85"/>
    <n v="265.02999999999997"/>
    <x v="8"/>
  </r>
  <r>
    <s v="ORD01824"/>
    <d v="2025-05-15T00:00:00"/>
    <x v="0"/>
    <x v="1"/>
    <x v="4"/>
    <n v="291"/>
    <n v="19.14"/>
    <n v="5569.74"/>
    <n v="4211.8900000000003"/>
    <n v="1357.85"/>
    <x v="11"/>
  </r>
  <r>
    <s v="ORD01825"/>
    <d v="2025-08-03T00:00:00"/>
    <x v="5"/>
    <x v="0"/>
    <x v="3"/>
    <n v="275"/>
    <n v="39.19"/>
    <n v="10777.25"/>
    <n v="7218.9"/>
    <n v="3558.35"/>
    <x v="6"/>
  </r>
  <r>
    <s v="ORD01826"/>
    <d v="2025-08-07T00:00:00"/>
    <x v="0"/>
    <x v="0"/>
    <x v="1"/>
    <n v="286"/>
    <n v="22.43"/>
    <n v="6414.98"/>
    <n v="4887.57"/>
    <n v="1527.41"/>
    <x v="6"/>
  </r>
  <r>
    <s v="ORD01827"/>
    <d v="2025-11-11T00:00:00"/>
    <x v="4"/>
    <x v="0"/>
    <x v="0"/>
    <n v="107"/>
    <n v="30.48"/>
    <n v="3261.36"/>
    <n v="2076.35"/>
    <n v="1185.01"/>
    <x v="3"/>
  </r>
  <r>
    <s v="ORD01828"/>
    <d v="2025-09-24T00:00:00"/>
    <x v="3"/>
    <x v="0"/>
    <x v="1"/>
    <n v="286"/>
    <n v="33.17"/>
    <n v="9486.6200000000008"/>
    <n v="6116.45"/>
    <n v="3370.17"/>
    <x v="9"/>
  </r>
  <r>
    <s v="ORD01829"/>
    <d v="2025-03-18T00:00:00"/>
    <x v="0"/>
    <x v="0"/>
    <x v="2"/>
    <n v="136"/>
    <n v="27.83"/>
    <n v="3784.88"/>
    <n v="2783.03"/>
    <n v="1001.85"/>
    <x v="4"/>
  </r>
  <r>
    <s v="ORD01830"/>
    <d v="2025-01-24T00:00:00"/>
    <x v="3"/>
    <x v="2"/>
    <x v="1"/>
    <n v="186"/>
    <n v="26.12"/>
    <n v="4858.32"/>
    <n v="3256.51"/>
    <n v="1601.81"/>
    <x v="10"/>
  </r>
  <r>
    <s v="ORD01831"/>
    <d v="2025-07-03T00:00:00"/>
    <x v="4"/>
    <x v="1"/>
    <x v="1"/>
    <n v="156"/>
    <n v="27.38"/>
    <n v="4271.28"/>
    <n v="3065.41"/>
    <n v="1205.8699999999999"/>
    <x v="8"/>
  </r>
  <r>
    <s v="ORD01832"/>
    <d v="2025-05-11T00:00:00"/>
    <x v="5"/>
    <x v="2"/>
    <x v="4"/>
    <n v="250"/>
    <n v="19.02"/>
    <n v="4755"/>
    <n v="3036.17"/>
    <n v="1718.83"/>
    <x v="11"/>
  </r>
  <r>
    <s v="ORD01833"/>
    <d v="2025-07-06T00:00:00"/>
    <x v="5"/>
    <x v="2"/>
    <x v="4"/>
    <n v="70"/>
    <n v="12.78"/>
    <n v="894.6"/>
    <n v="631.38"/>
    <n v="263.22000000000003"/>
    <x v="8"/>
  </r>
  <r>
    <s v="ORD01834"/>
    <d v="2025-12-02T00:00:00"/>
    <x v="4"/>
    <x v="2"/>
    <x v="4"/>
    <n v="10"/>
    <n v="13.39"/>
    <n v="133.9"/>
    <n v="89.34"/>
    <n v="44.56"/>
    <x v="5"/>
  </r>
  <r>
    <s v="ORD01835"/>
    <d v="2025-12-31T00:00:00"/>
    <x v="1"/>
    <x v="1"/>
    <x v="1"/>
    <n v="124"/>
    <n v="29.03"/>
    <n v="3599.72"/>
    <n v="2501.77"/>
    <n v="1097.95"/>
    <x v="5"/>
  </r>
  <r>
    <s v="ORD01836"/>
    <d v="2025-02-16T00:00:00"/>
    <x v="3"/>
    <x v="2"/>
    <x v="3"/>
    <n v="13"/>
    <n v="11.71"/>
    <n v="152.22999999999999"/>
    <n v="109.66"/>
    <n v="42.57"/>
    <x v="2"/>
  </r>
  <r>
    <s v="ORD01837"/>
    <d v="2025-07-11T00:00:00"/>
    <x v="1"/>
    <x v="1"/>
    <x v="2"/>
    <n v="189"/>
    <n v="17.5"/>
    <n v="3307.5"/>
    <n v="2377.23"/>
    <n v="930.27"/>
    <x v="8"/>
  </r>
  <r>
    <s v="ORD01838"/>
    <d v="2025-11-12T00:00:00"/>
    <x v="0"/>
    <x v="1"/>
    <x v="1"/>
    <n v="119"/>
    <n v="39.71"/>
    <n v="4725.49"/>
    <n v="3270.04"/>
    <n v="1455.45"/>
    <x v="3"/>
  </r>
  <r>
    <s v="ORD01839"/>
    <d v="2025-06-24T00:00:00"/>
    <x v="0"/>
    <x v="1"/>
    <x v="0"/>
    <n v="239"/>
    <n v="18.11"/>
    <n v="4328.29"/>
    <n v="2918.39"/>
    <n v="1409.9"/>
    <x v="0"/>
  </r>
  <r>
    <s v="ORD01840"/>
    <d v="2025-03-31T00:00:00"/>
    <x v="1"/>
    <x v="2"/>
    <x v="4"/>
    <n v="47"/>
    <n v="27.11"/>
    <n v="1274.17"/>
    <n v="841.42"/>
    <n v="432.75"/>
    <x v="4"/>
  </r>
  <r>
    <s v="ORD01841"/>
    <d v="2025-11-03T00:00:00"/>
    <x v="4"/>
    <x v="2"/>
    <x v="1"/>
    <n v="240"/>
    <n v="38.76"/>
    <n v="9302.4"/>
    <n v="7372.03"/>
    <n v="1930.37"/>
    <x v="3"/>
  </r>
  <r>
    <s v="ORD01842"/>
    <d v="2025-09-24T00:00:00"/>
    <x v="5"/>
    <x v="1"/>
    <x v="0"/>
    <n v="198"/>
    <n v="30.28"/>
    <n v="5995.44"/>
    <n v="3947.52"/>
    <n v="2047.92"/>
    <x v="9"/>
  </r>
  <r>
    <s v="ORD01843"/>
    <d v="2025-12-29T00:00:00"/>
    <x v="5"/>
    <x v="0"/>
    <x v="3"/>
    <n v="64"/>
    <n v="20.16"/>
    <n v="1290.24"/>
    <n v="800.42"/>
    <n v="489.82"/>
    <x v="5"/>
  </r>
  <r>
    <s v="ORD01844"/>
    <d v="2025-07-25T00:00:00"/>
    <x v="4"/>
    <x v="2"/>
    <x v="4"/>
    <n v="171"/>
    <n v="37.94"/>
    <n v="6487.74"/>
    <n v="5075.55"/>
    <n v="1412.19"/>
    <x v="8"/>
  </r>
  <r>
    <s v="ORD01845"/>
    <d v="2025-01-05T00:00:00"/>
    <x v="3"/>
    <x v="0"/>
    <x v="2"/>
    <n v="292"/>
    <n v="36.619999999999997"/>
    <n v="10693.04"/>
    <n v="6806.82"/>
    <n v="3886.22"/>
    <x v="10"/>
  </r>
  <r>
    <s v="ORD01846"/>
    <d v="2025-08-29T00:00:00"/>
    <x v="2"/>
    <x v="1"/>
    <x v="1"/>
    <n v="176"/>
    <n v="28.57"/>
    <n v="5028.32"/>
    <n v="3559.99"/>
    <n v="1468.33"/>
    <x v="6"/>
  </r>
  <r>
    <s v="ORD01847"/>
    <d v="2025-03-25T00:00:00"/>
    <x v="4"/>
    <x v="0"/>
    <x v="3"/>
    <n v="31"/>
    <n v="37.96"/>
    <n v="1176.76"/>
    <n v="934.73"/>
    <n v="242.03"/>
    <x v="4"/>
  </r>
  <r>
    <s v="ORD01848"/>
    <d v="2025-04-24T00:00:00"/>
    <x v="5"/>
    <x v="0"/>
    <x v="0"/>
    <n v="221"/>
    <n v="32.71"/>
    <n v="7228.91"/>
    <n v="4458.9799999999996"/>
    <n v="2769.93"/>
    <x v="7"/>
  </r>
  <r>
    <s v="ORD01849"/>
    <d v="2025-08-19T00:00:00"/>
    <x v="4"/>
    <x v="0"/>
    <x v="1"/>
    <n v="288"/>
    <n v="15.73"/>
    <n v="4530.24"/>
    <n v="3501.48"/>
    <n v="1028.76"/>
    <x v="6"/>
  </r>
  <r>
    <s v="ORD01850"/>
    <d v="2025-12-25T00:00:00"/>
    <x v="4"/>
    <x v="1"/>
    <x v="3"/>
    <n v="59"/>
    <n v="33.19"/>
    <n v="1958.21"/>
    <n v="1258.06"/>
    <n v="700.15"/>
    <x v="5"/>
  </r>
  <r>
    <s v="ORD01851"/>
    <d v="2025-11-07T00:00:00"/>
    <x v="0"/>
    <x v="1"/>
    <x v="0"/>
    <n v="203"/>
    <n v="38.57"/>
    <n v="7829.71"/>
    <n v="6220.48"/>
    <n v="1609.23"/>
    <x v="3"/>
  </r>
  <r>
    <s v="ORD01852"/>
    <d v="2025-11-29T00:00:00"/>
    <x v="5"/>
    <x v="0"/>
    <x v="1"/>
    <n v="173"/>
    <n v="31.91"/>
    <n v="5520.43"/>
    <n v="4063.3"/>
    <n v="1457.13"/>
    <x v="3"/>
  </r>
  <r>
    <s v="ORD01853"/>
    <d v="2025-02-06T00:00:00"/>
    <x v="1"/>
    <x v="0"/>
    <x v="3"/>
    <n v="226"/>
    <n v="20.55"/>
    <n v="4644.3"/>
    <n v="3002.61"/>
    <n v="1641.69"/>
    <x v="2"/>
  </r>
  <r>
    <s v="ORD01854"/>
    <d v="2025-01-21T00:00:00"/>
    <x v="1"/>
    <x v="1"/>
    <x v="3"/>
    <n v="97"/>
    <n v="19.87"/>
    <n v="1927.39"/>
    <n v="1263.46"/>
    <n v="663.93"/>
    <x v="10"/>
  </r>
  <r>
    <s v="ORD01855"/>
    <d v="2025-08-02T00:00:00"/>
    <x v="3"/>
    <x v="0"/>
    <x v="3"/>
    <n v="265"/>
    <n v="25.79"/>
    <n v="6834.35"/>
    <n v="4851.2299999999996"/>
    <n v="1983.12"/>
    <x v="6"/>
  </r>
  <r>
    <s v="ORD01856"/>
    <d v="2025-09-04T00:00:00"/>
    <x v="1"/>
    <x v="0"/>
    <x v="5"/>
    <n v="277"/>
    <n v="29.55"/>
    <n v="8185.35"/>
    <n v="5903.56"/>
    <n v="2281.79"/>
    <x v="9"/>
  </r>
  <r>
    <s v="ORD01857"/>
    <d v="2025-04-20T00:00:00"/>
    <x v="1"/>
    <x v="2"/>
    <x v="1"/>
    <n v="77"/>
    <n v="12.68"/>
    <n v="976.36"/>
    <n v="641.37"/>
    <n v="334.99"/>
    <x v="7"/>
  </r>
  <r>
    <s v="ORD01858"/>
    <d v="2025-02-14T00:00:00"/>
    <x v="4"/>
    <x v="2"/>
    <x v="4"/>
    <n v="68"/>
    <n v="17.239999999999998"/>
    <n v="1172.32"/>
    <n v="821.23"/>
    <n v="351.09"/>
    <x v="2"/>
  </r>
  <r>
    <s v="ORD01859"/>
    <d v="2025-08-09T00:00:00"/>
    <x v="0"/>
    <x v="1"/>
    <x v="2"/>
    <n v="166"/>
    <n v="30.39"/>
    <n v="5044.74"/>
    <n v="3148.79"/>
    <n v="1895.95"/>
    <x v="6"/>
  </r>
  <r>
    <s v="ORD01860"/>
    <d v="2025-07-18T00:00:00"/>
    <x v="5"/>
    <x v="1"/>
    <x v="4"/>
    <n v="199"/>
    <n v="37.08"/>
    <n v="7378.92"/>
    <n v="4965.34"/>
    <n v="2413.58"/>
    <x v="8"/>
  </r>
  <r>
    <s v="ORD01861"/>
    <d v="2025-05-09T00:00:00"/>
    <x v="3"/>
    <x v="1"/>
    <x v="5"/>
    <n v="207"/>
    <n v="11.53"/>
    <n v="2386.71"/>
    <n v="1628.02"/>
    <n v="758.69"/>
    <x v="11"/>
  </r>
  <r>
    <s v="ORD01862"/>
    <d v="2025-12-23T00:00:00"/>
    <x v="1"/>
    <x v="0"/>
    <x v="2"/>
    <n v="137"/>
    <n v="39.229999999999997"/>
    <n v="5374.51"/>
    <n v="3567.27"/>
    <n v="1807.24"/>
    <x v="5"/>
  </r>
  <r>
    <s v="ORD01863"/>
    <d v="2025-06-17T00:00:00"/>
    <x v="2"/>
    <x v="0"/>
    <x v="4"/>
    <n v="12"/>
    <n v="25.85"/>
    <n v="310.2"/>
    <n v="224.76"/>
    <n v="85.44"/>
    <x v="0"/>
  </r>
  <r>
    <s v="ORD01864"/>
    <d v="2025-05-08T00:00:00"/>
    <x v="3"/>
    <x v="1"/>
    <x v="3"/>
    <n v="147"/>
    <n v="20.34"/>
    <n v="2989.98"/>
    <n v="2274.83"/>
    <n v="715.15"/>
    <x v="11"/>
  </r>
  <r>
    <s v="ORD01865"/>
    <d v="2025-02-06T00:00:00"/>
    <x v="0"/>
    <x v="2"/>
    <x v="4"/>
    <n v="94"/>
    <n v="11.69"/>
    <n v="1098.8599999999999"/>
    <n v="707.08"/>
    <n v="391.78"/>
    <x v="2"/>
  </r>
  <r>
    <s v="ORD01866"/>
    <d v="2025-09-15T00:00:00"/>
    <x v="0"/>
    <x v="2"/>
    <x v="0"/>
    <n v="11"/>
    <n v="18.559999999999999"/>
    <n v="204.16"/>
    <n v="123.5"/>
    <n v="80.66"/>
    <x v="9"/>
  </r>
  <r>
    <s v="ORD01867"/>
    <d v="2025-12-14T00:00:00"/>
    <x v="5"/>
    <x v="1"/>
    <x v="1"/>
    <n v="258"/>
    <n v="23.02"/>
    <n v="5939.16"/>
    <n v="3965.04"/>
    <n v="1974.12"/>
    <x v="5"/>
  </r>
  <r>
    <s v="ORD01868"/>
    <d v="2025-11-22T00:00:00"/>
    <x v="5"/>
    <x v="1"/>
    <x v="1"/>
    <n v="292"/>
    <n v="25.87"/>
    <n v="7554.04"/>
    <n v="5417.1"/>
    <n v="2136.94"/>
    <x v="3"/>
  </r>
  <r>
    <s v="ORD01869"/>
    <d v="2025-09-10T00:00:00"/>
    <x v="3"/>
    <x v="2"/>
    <x v="2"/>
    <n v="130"/>
    <n v="39.96"/>
    <n v="5194.8"/>
    <n v="3434.03"/>
    <n v="1760.77"/>
    <x v="9"/>
  </r>
  <r>
    <s v="ORD01870"/>
    <d v="2025-10-11T00:00:00"/>
    <x v="3"/>
    <x v="0"/>
    <x v="1"/>
    <n v="165"/>
    <n v="18.89"/>
    <n v="3116.85"/>
    <n v="2272.33"/>
    <n v="844.52"/>
    <x v="1"/>
  </r>
  <r>
    <s v="ORD01871"/>
    <d v="2025-03-06T00:00:00"/>
    <x v="1"/>
    <x v="0"/>
    <x v="5"/>
    <n v="141"/>
    <n v="33.729999999999997"/>
    <n v="4755.93"/>
    <n v="3387.75"/>
    <n v="1368.18"/>
    <x v="4"/>
  </r>
  <r>
    <s v="ORD01872"/>
    <d v="2025-12-30T00:00:00"/>
    <x v="2"/>
    <x v="1"/>
    <x v="4"/>
    <n v="109"/>
    <n v="32.950000000000003"/>
    <n v="3591.55"/>
    <n v="2196.1"/>
    <n v="1395.45"/>
    <x v="5"/>
  </r>
  <r>
    <s v="ORD01873"/>
    <d v="2025-12-12T00:00:00"/>
    <x v="0"/>
    <x v="0"/>
    <x v="2"/>
    <n v="267"/>
    <n v="22.35"/>
    <n v="5967.45"/>
    <n v="4283.32"/>
    <n v="1684.13"/>
    <x v="5"/>
  </r>
  <r>
    <s v="ORD01874"/>
    <d v="2025-01-28T00:00:00"/>
    <x v="0"/>
    <x v="1"/>
    <x v="5"/>
    <n v="269"/>
    <n v="26.95"/>
    <n v="7249.55"/>
    <n v="4861.42"/>
    <n v="2388.13"/>
    <x v="10"/>
  </r>
  <r>
    <s v="ORD01875"/>
    <d v="2025-05-13T00:00:00"/>
    <x v="0"/>
    <x v="1"/>
    <x v="0"/>
    <n v="183"/>
    <n v="13.96"/>
    <n v="2554.6799999999998"/>
    <n v="1862.96"/>
    <n v="691.72"/>
    <x v="11"/>
  </r>
  <r>
    <s v="ORD01876"/>
    <d v="2025-02-13T00:00:00"/>
    <x v="1"/>
    <x v="1"/>
    <x v="2"/>
    <n v="179"/>
    <n v="18.309999999999999"/>
    <n v="3277.49"/>
    <n v="2430.0700000000002"/>
    <n v="847.42"/>
    <x v="2"/>
  </r>
  <r>
    <s v="ORD01877"/>
    <d v="2025-05-15T00:00:00"/>
    <x v="3"/>
    <x v="2"/>
    <x v="5"/>
    <n v="209"/>
    <n v="15"/>
    <n v="3135"/>
    <n v="1930.43"/>
    <n v="1204.57"/>
    <x v="11"/>
  </r>
  <r>
    <s v="ORD01878"/>
    <d v="2025-04-28T00:00:00"/>
    <x v="3"/>
    <x v="1"/>
    <x v="4"/>
    <n v="54"/>
    <n v="22.08"/>
    <n v="1192.32"/>
    <n v="909.95"/>
    <n v="282.37"/>
    <x v="7"/>
  </r>
  <r>
    <s v="ORD01879"/>
    <d v="2025-01-22T00:00:00"/>
    <x v="1"/>
    <x v="0"/>
    <x v="3"/>
    <n v="94"/>
    <n v="25.93"/>
    <n v="2437.42"/>
    <n v="1591.12"/>
    <n v="846.3"/>
    <x v="10"/>
  </r>
  <r>
    <s v="ORD01880"/>
    <d v="2025-11-29T00:00:00"/>
    <x v="1"/>
    <x v="0"/>
    <x v="0"/>
    <n v="284"/>
    <n v="36.21"/>
    <n v="10283.64"/>
    <n v="7538.17"/>
    <n v="2745.47"/>
    <x v="3"/>
  </r>
  <r>
    <s v="ORD01881"/>
    <d v="2025-05-01T00:00:00"/>
    <x v="2"/>
    <x v="1"/>
    <x v="5"/>
    <n v="223"/>
    <n v="28.57"/>
    <n v="6371.11"/>
    <n v="4273.83"/>
    <n v="2097.2800000000002"/>
    <x v="11"/>
  </r>
  <r>
    <s v="ORD01882"/>
    <d v="2025-11-27T00:00:00"/>
    <x v="2"/>
    <x v="0"/>
    <x v="5"/>
    <n v="163"/>
    <n v="17.61"/>
    <n v="2870.43"/>
    <n v="2119.4899999999998"/>
    <n v="750.94"/>
    <x v="3"/>
  </r>
  <r>
    <s v="ORD01883"/>
    <d v="2025-03-04T00:00:00"/>
    <x v="1"/>
    <x v="1"/>
    <x v="1"/>
    <n v="129"/>
    <n v="31.61"/>
    <n v="4077.69"/>
    <n v="3076.86"/>
    <n v="1000.83"/>
    <x v="4"/>
  </r>
  <r>
    <s v="ORD01884"/>
    <d v="2025-09-17T00:00:00"/>
    <x v="3"/>
    <x v="2"/>
    <x v="3"/>
    <n v="112"/>
    <n v="19.64"/>
    <n v="2199.6799999999998"/>
    <n v="1474.35"/>
    <n v="725.33"/>
    <x v="9"/>
  </r>
  <r>
    <s v="ORD01885"/>
    <d v="2025-09-08T00:00:00"/>
    <x v="3"/>
    <x v="0"/>
    <x v="0"/>
    <n v="269"/>
    <n v="29.81"/>
    <n v="8018.89"/>
    <n v="6267.43"/>
    <n v="1751.46"/>
    <x v="9"/>
  </r>
  <r>
    <s v="ORD01886"/>
    <d v="2025-05-26T00:00:00"/>
    <x v="2"/>
    <x v="0"/>
    <x v="0"/>
    <n v="271"/>
    <n v="20.79"/>
    <n v="5634.09"/>
    <n v="4158.55"/>
    <n v="1475.54"/>
    <x v="11"/>
  </r>
  <r>
    <s v="ORD01887"/>
    <d v="2025-04-10T00:00:00"/>
    <x v="0"/>
    <x v="1"/>
    <x v="3"/>
    <n v="45"/>
    <n v="13.2"/>
    <n v="594"/>
    <n v="464.31"/>
    <n v="129.69"/>
    <x v="7"/>
  </r>
  <r>
    <s v="ORD01888"/>
    <d v="2025-03-29T00:00:00"/>
    <x v="4"/>
    <x v="0"/>
    <x v="0"/>
    <n v="235"/>
    <n v="24.84"/>
    <n v="5837.4"/>
    <n v="4100.57"/>
    <n v="1736.83"/>
    <x v="4"/>
  </r>
  <r>
    <s v="ORD01889"/>
    <d v="2025-03-09T00:00:00"/>
    <x v="2"/>
    <x v="0"/>
    <x v="1"/>
    <n v="192"/>
    <n v="36.340000000000003"/>
    <n v="6977.28"/>
    <n v="4619.9399999999996"/>
    <n v="2357.34"/>
    <x v="4"/>
  </r>
  <r>
    <s v="ORD01890"/>
    <d v="2025-10-26T00:00:00"/>
    <x v="2"/>
    <x v="0"/>
    <x v="1"/>
    <n v="46"/>
    <n v="37.97"/>
    <n v="1746.62"/>
    <n v="1320.09"/>
    <n v="426.53"/>
    <x v="1"/>
  </r>
  <r>
    <s v="ORD01891"/>
    <d v="2025-02-26T00:00:00"/>
    <x v="0"/>
    <x v="0"/>
    <x v="3"/>
    <n v="42"/>
    <n v="16.850000000000001"/>
    <n v="707.7"/>
    <n v="492.91"/>
    <n v="214.79"/>
    <x v="2"/>
  </r>
  <r>
    <s v="ORD01892"/>
    <d v="2025-05-05T00:00:00"/>
    <x v="3"/>
    <x v="1"/>
    <x v="3"/>
    <n v="216"/>
    <n v="32.25"/>
    <n v="6966"/>
    <n v="5108.3500000000004"/>
    <n v="1857.65"/>
    <x v="11"/>
  </r>
  <r>
    <s v="ORD01893"/>
    <d v="2025-04-05T00:00:00"/>
    <x v="1"/>
    <x v="2"/>
    <x v="1"/>
    <n v="280"/>
    <n v="37.26"/>
    <n v="10432.799999999999"/>
    <n v="6721.24"/>
    <n v="3711.56"/>
    <x v="7"/>
  </r>
  <r>
    <s v="ORD01894"/>
    <d v="2025-06-04T00:00:00"/>
    <x v="3"/>
    <x v="2"/>
    <x v="0"/>
    <n v="232"/>
    <n v="25.51"/>
    <n v="5918.32"/>
    <n v="3700.18"/>
    <n v="2218.14"/>
    <x v="0"/>
  </r>
  <r>
    <s v="ORD01895"/>
    <d v="2025-04-27T00:00:00"/>
    <x v="0"/>
    <x v="2"/>
    <x v="5"/>
    <n v="30"/>
    <n v="16.059999999999999"/>
    <n v="481.8"/>
    <n v="367.29"/>
    <n v="114.51"/>
    <x v="7"/>
  </r>
  <r>
    <s v="ORD01896"/>
    <d v="2025-02-20T00:00:00"/>
    <x v="2"/>
    <x v="1"/>
    <x v="1"/>
    <n v="55"/>
    <n v="32.5"/>
    <n v="1787.5"/>
    <n v="1190.3499999999999"/>
    <n v="597.15"/>
    <x v="2"/>
  </r>
  <r>
    <s v="ORD01897"/>
    <d v="2025-05-20T00:00:00"/>
    <x v="2"/>
    <x v="2"/>
    <x v="3"/>
    <n v="193"/>
    <n v="18.96"/>
    <n v="3659.28"/>
    <n v="2737.95"/>
    <n v="921.33"/>
    <x v="11"/>
  </r>
  <r>
    <s v="ORD01898"/>
    <d v="2025-03-01T00:00:00"/>
    <x v="5"/>
    <x v="2"/>
    <x v="1"/>
    <n v="163"/>
    <n v="28.49"/>
    <n v="4643.87"/>
    <n v="3701.67"/>
    <n v="942.2"/>
    <x v="4"/>
  </r>
  <r>
    <s v="ORD01899"/>
    <d v="2025-08-15T00:00:00"/>
    <x v="5"/>
    <x v="2"/>
    <x v="4"/>
    <n v="300"/>
    <n v="35.86"/>
    <n v="10758"/>
    <n v="6749.37"/>
    <n v="4008.63"/>
    <x v="6"/>
  </r>
  <r>
    <s v="ORD01900"/>
    <d v="2025-05-27T00:00:00"/>
    <x v="5"/>
    <x v="2"/>
    <x v="2"/>
    <n v="281"/>
    <n v="25.14"/>
    <n v="7064.34"/>
    <n v="4796.63"/>
    <n v="2267.71"/>
    <x v="11"/>
  </r>
  <r>
    <s v="ORD01901"/>
    <d v="2025-01-01T00:00:00"/>
    <x v="1"/>
    <x v="1"/>
    <x v="1"/>
    <n v="153"/>
    <n v="21.51"/>
    <n v="3291.03"/>
    <n v="2157.9"/>
    <n v="1133.1300000000001"/>
    <x v="10"/>
  </r>
  <r>
    <s v="ORD01902"/>
    <d v="2025-01-13T00:00:00"/>
    <x v="1"/>
    <x v="1"/>
    <x v="4"/>
    <n v="211"/>
    <n v="14.62"/>
    <n v="3084.82"/>
    <n v="2177.2800000000002"/>
    <n v="907.54"/>
    <x v="10"/>
  </r>
  <r>
    <s v="ORD01903"/>
    <d v="2025-06-10T00:00:00"/>
    <x v="5"/>
    <x v="2"/>
    <x v="3"/>
    <n v="202"/>
    <n v="27.88"/>
    <n v="5631.76"/>
    <n v="3659.96"/>
    <n v="1971.8"/>
    <x v="0"/>
  </r>
  <r>
    <s v="ORD01904"/>
    <d v="2025-09-21T00:00:00"/>
    <x v="0"/>
    <x v="0"/>
    <x v="0"/>
    <n v="249"/>
    <n v="20.64"/>
    <n v="5139.3599999999997"/>
    <n v="4014.98"/>
    <n v="1124.3800000000001"/>
    <x v="9"/>
  </r>
  <r>
    <s v="ORD01905"/>
    <d v="2025-03-04T00:00:00"/>
    <x v="3"/>
    <x v="2"/>
    <x v="2"/>
    <n v="222"/>
    <n v="14.57"/>
    <n v="3234.54"/>
    <n v="2062.79"/>
    <n v="1171.75"/>
    <x v="4"/>
  </r>
  <r>
    <s v="ORD01906"/>
    <d v="2025-11-21T00:00:00"/>
    <x v="3"/>
    <x v="2"/>
    <x v="1"/>
    <n v="251"/>
    <n v="36.22"/>
    <n v="9091.2199999999993"/>
    <n v="6843.15"/>
    <n v="2248.0700000000002"/>
    <x v="3"/>
  </r>
  <r>
    <s v="ORD01907"/>
    <d v="2025-11-30T00:00:00"/>
    <x v="4"/>
    <x v="2"/>
    <x v="2"/>
    <n v="206"/>
    <n v="27.49"/>
    <n v="5662.94"/>
    <n v="3923.8"/>
    <n v="1739.14"/>
    <x v="3"/>
  </r>
  <r>
    <s v="ORD01908"/>
    <d v="2025-06-09T00:00:00"/>
    <x v="3"/>
    <x v="1"/>
    <x v="1"/>
    <n v="128"/>
    <n v="13.13"/>
    <n v="1680.64"/>
    <n v="1138.08"/>
    <n v="542.55999999999995"/>
    <x v="0"/>
  </r>
  <r>
    <s v="ORD01909"/>
    <d v="2025-07-17T00:00:00"/>
    <x v="4"/>
    <x v="1"/>
    <x v="1"/>
    <n v="216"/>
    <n v="29.78"/>
    <n v="6432.48"/>
    <n v="4419.78"/>
    <n v="2012.7"/>
    <x v="8"/>
  </r>
  <r>
    <s v="ORD01910"/>
    <d v="2025-04-24T00:00:00"/>
    <x v="2"/>
    <x v="2"/>
    <x v="3"/>
    <n v="125"/>
    <n v="30.21"/>
    <n v="3776.25"/>
    <n v="2614.73"/>
    <n v="1161.52"/>
    <x v="7"/>
  </r>
  <r>
    <s v="ORD01911"/>
    <d v="2025-02-24T00:00:00"/>
    <x v="0"/>
    <x v="1"/>
    <x v="0"/>
    <n v="253"/>
    <n v="13.31"/>
    <n v="3367.43"/>
    <n v="2391.5100000000002"/>
    <n v="975.92"/>
    <x v="2"/>
  </r>
  <r>
    <s v="ORD01912"/>
    <d v="2025-12-07T00:00:00"/>
    <x v="3"/>
    <x v="2"/>
    <x v="4"/>
    <n v="54"/>
    <n v="33.479999999999997"/>
    <n v="1807.92"/>
    <n v="1231.03"/>
    <n v="576.89"/>
    <x v="5"/>
  </r>
  <r>
    <s v="ORD01913"/>
    <d v="2025-08-18T00:00:00"/>
    <x v="5"/>
    <x v="0"/>
    <x v="3"/>
    <n v="118"/>
    <n v="37.81"/>
    <n v="4461.58"/>
    <n v="2982.58"/>
    <n v="1479"/>
    <x v="6"/>
  </r>
  <r>
    <s v="ORD01914"/>
    <d v="2025-07-28T00:00:00"/>
    <x v="5"/>
    <x v="2"/>
    <x v="0"/>
    <n v="235"/>
    <n v="20.97"/>
    <n v="4927.95"/>
    <n v="3488.12"/>
    <n v="1439.83"/>
    <x v="8"/>
  </r>
  <r>
    <s v="ORD01915"/>
    <d v="2025-12-09T00:00:00"/>
    <x v="0"/>
    <x v="1"/>
    <x v="1"/>
    <n v="197"/>
    <n v="38.69"/>
    <n v="7621.93"/>
    <n v="5276.74"/>
    <n v="2345.19"/>
    <x v="5"/>
  </r>
  <r>
    <s v="ORD01916"/>
    <d v="2025-10-16T00:00:00"/>
    <x v="4"/>
    <x v="2"/>
    <x v="2"/>
    <n v="238"/>
    <n v="13.49"/>
    <n v="3210.62"/>
    <n v="2228.5500000000002"/>
    <n v="982.07"/>
    <x v="1"/>
  </r>
  <r>
    <s v="ORD01917"/>
    <d v="2025-02-10T00:00:00"/>
    <x v="3"/>
    <x v="1"/>
    <x v="5"/>
    <n v="278"/>
    <n v="30.06"/>
    <n v="8356.68"/>
    <n v="5873.28"/>
    <n v="2483.4"/>
    <x v="2"/>
  </r>
  <r>
    <s v="ORD01918"/>
    <d v="2025-11-12T00:00:00"/>
    <x v="2"/>
    <x v="0"/>
    <x v="5"/>
    <n v="225"/>
    <n v="33.42"/>
    <n v="7519.5"/>
    <n v="5968.31"/>
    <n v="1551.19"/>
    <x v="3"/>
  </r>
  <r>
    <s v="ORD01919"/>
    <d v="2025-10-19T00:00:00"/>
    <x v="4"/>
    <x v="0"/>
    <x v="2"/>
    <n v="285"/>
    <n v="21.47"/>
    <n v="6118.95"/>
    <n v="4159.78"/>
    <n v="1959.17"/>
    <x v="1"/>
  </r>
  <r>
    <s v="ORD01920"/>
    <d v="2025-02-03T00:00:00"/>
    <x v="0"/>
    <x v="1"/>
    <x v="1"/>
    <n v="184"/>
    <n v="35.9"/>
    <n v="6605.6"/>
    <n v="4332.1000000000004"/>
    <n v="2273.5"/>
    <x v="2"/>
  </r>
  <r>
    <s v="ORD01921"/>
    <d v="2025-01-05T00:00:00"/>
    <x v="4"/>
    <x v="1"/>
    <x v="1"/>
    <n v="77"/>
    <n v="26.11"/>
    <n v="2010.47"/>
    <n v="1458.02"/>
    <n v="552.45000000000005"/>
    <x v="10"/>
  </r>
  <r>
    <s v="ORD01922"/>
    <d v="2025-05-15T00:00:00"/>
    <x v="1"/>
    <x v="2"/>
    <x v="3"/>
    <n v="186"/>
    <n v="13.29"/>
    <n v="2471.94"/>
    <n v="1883.66"/>
    <n v="588.28"/>
    <x v="11"/>
  </r>
  <r>
    <s v="ORD01923"/>
    <d v="2025-03-31T00:00:00"/>
    <x v="1"/>
    <x v="0"/>
    <x v="0"/>
    <n v="211"/>
    <n v="31.15"/>
    <n v="6572.65"/>
    <n v="4014.31"/>
    <n v="2558.34"/>
    <x v="4"/>
  </r>
  <r>
    <s v="ORD01924"/>
    <d v="2025-09-21T00:00:00"/>
    <x v="0"/>
    <x v="0"/>
    <x v="2"/>
    <n v="117"/>
    <n v="23.52"/>
    <n v="2751.84"/>
    <n v="2186.12"/>
    <n v="565.72"/>
    <x v="9"/>
  </r>
  <r>
    <s v="ORD01925"/>
    <d v="2025-12-28T00:00:00"/>
    <x v="4"/>
    <x v="0"/>
    <x v="0"/>
    <n v="71"/>
    <n v="21.56"/>
    <n v="1530.76"/>
    <n v="1060.49"/>
    <n v="470.27"/>
    <x v="5"/>
  </r>
  <r>
    <s v="ORD01926"/>
    <d v="2025-06-04T00:00:00"/>
    <x v="4"/>
    <x v="1"/>
    <x v="5"/>
    <n v="189"/>
    <n v="18.18"/>
    <n v="3436.02"/>
    <n v="2191.42"/>
    <n v="1244.5999999999999"/>
    <x v="0"/>
  </r>
  <r>
    <s v="ORD01927"/>
    <d v="2025-10-15T00:00:00"/>
    <x v="2"/>
    <x v="2"/>
    <x v="3"/>
    <n v="33"/>
    <n v="34.340000000000003"/>
    <n v="1133.22"/>
    <n v="833.66"/>
    <n v="299.56"/>
    <x v="1"/>
  </r>
  <r>
    <s v="ORD01928"/>
    <d v="2025-08-16T00:00:00"/>
    <x v="5"/>
    <x v="0"/>
    <x v="4"/>
    <n v="178"/>
    <n v="28.38"/>
    <n v="5051.6400000000003"/>
    <n v="3185.93"/>
    <n v="1865.71"/>
    <x v="6"/>
  </r>
  <r>
    <s v="ORD01929"/>
    <d v="2025-07-13T00:00:00"/>
    <x v="1"/>
    <x v="0"/>
    <x v="0"/>
    <n v="83"/>
    <n v="26.33"/>
    <n v="2185.39"/>
    <n v="1725.49"/>
    <n v="459.9"/>
    <x v="8"/>
  </r>
  <r>
    <s v="ORD01930"/>
    <d v="2025-06-25T00:00:00"/>
    <x v="2"/>
    <x v="0"/>
    <x v="4"/>
    <n v="182"/>
    <n v="37.24"/>
    <n v="6777.68"/>
    <n v="4069.93"/>
    <n v="2707.75"/>
    <x v="0"/>
  </r>
  <r>
    <s v="ORD01931"/>
    <d v="2025-09-13T00:00:00"/>
    <x v="3"/>
    <x v="1"/>
    <x v="2"/>
    <n v="235"/>
    <n v="29.9"/>
    <n v="7026.5"/>
    <n v="5606.41"/>
    <n v="1420.09"/>
    <x v="9"/>
  </r>
  <r>
    <s v="ORD01932"/>
    <d v="2025-01-26T00:00:00"/>
    <x v="3"/>
    <x v="0"/>
    <x v="5"/>
    <n v="135"/>
    <n v="27.3"/>
    <n v="3685.5"/>
    <n v="2923.68"/>
    <n v="761.82"/>
    <x v="10"/>
  </r>
  <r>
    <s v="ORD01933"/>
    <d v="2025-06-07T00:00:00"/>
    <x v="4"/>
    <x v="1"/>
    <x v="1"/>
    <n v="129"/>
    <n v="38.31"/>
    <n v="4941.99"/>
    <n v="3238"/>
    <n v="1703.99"/>
    <x v="0"/>
  </r>
  <r>
    <s v="ORD01934"/>
    <d v="2025-11-07T00:00:00"/>
    <x v="1"/>
    <x v="2"/>
    <x v="4"/>
    <n v="240"/>
    <n v="21.55"/>
    <n v="5172"/>
    <n v="3792.2"/>
    <n v="1379.8"/>
    <x v="3"/>
  </r>
  <r>
    <s v="ORD01935"/>
    <d v="2025-07-10T00:00:00"/>
    <x v="5"/>
    <x v="0"/>
    <x v="0"/>
    <n v="222"/>
    <n v="14.22"/>
    <n v="3156.84"/>
    <n v="1921.18"/>
    <n v="1235.6600000000001"/>
    <x v="8"/>
  </r>
  <r>
    <s v="ORD01936"/>
    <d v="2025-01-29T00:00:00"/>
    <x v="4"/>
    <x v="2"/>
    <x v="3"/>
    <n v="96"/>
    <n v="12.57"/>
    <n v="1206.72"/>
    <n v="743.11"/>
    <n v="463.61"/>
    <x v="10"/>
  </r>
  <r>
    <s v="ORD01937"/>
    <d v="2025-05-20T00:00:00"/>
    <x v="4"/>
    <x v="0"/>
    <x v="3"/>
    <n v="158"/>
    <n v="18.579999999999998"/>
    <n v="2935.64"/>
    <n v="2063.94"/>
    <n v="871.7"/>
    <x v="11"/>
  </r>
  <r>
    <s v="ORD01938"/>
    <d v="2025-08-06T00:00:00"/>
    <x v="2"/>
    <x v="1"/>
    <x v="3"/>
    <n v="65"/>
    <n v="36.950000000000003"/>
    <n v="2401.75"/>
    <n v="1889.8"/>
    <n v="511.95"/>
    <x v="6"/>
  </r>
  <r>
    <s v="ORD01939"/>
    <d v="2025-05-14T00:00:00"/>
    <x v="5"/>
    <x v="0"/>
    <x v="4"/>
    <n v="106"/>
    <n v="25.52"/>
    <n v="2705.12"/>
    <n v="1625.86"/>
    <n v="1079.26"/>
    <x v="11"/>
  </r>
  <r>
    <s v="ORD01940"/>
    <d v="2025-10-20T00:00:00"/>
    <x v="4"/>
    <x v="2"/>
    <x v="0"/>
    <n v="72"/>
    <n v="23.66"/>
    <n v="1703.52"/>
    <n v="1209.32"/>
    <n v="494.2"/>
    <x v="1"/>
  </r>
  <r>
    <s v="ORD01941"/>
    <d v="2025-09-18T00:00:00"/>
    <x v="5"/>
    <x v="1"/>
    <x v="0"/>
    <n v="221"/>
    <n v="39.19"/>
    <n v="8660.99"/>
    <n v="5292.98"/>
    <n v="3368.01"/>
    <x v="9"/>
  </r>
  <r>
    <s v="ORD01942"/>
    <d v="2025-03-06T00:00:00"/>
    <x v="3"/>
    <x v="1"/>
    <x v="2"/>
    <n v="238"/>
    <n v="17.97"/>
    <n v="4276.8599999999997"/>
    <n v="3180.99"/>
    <n v="1095.8699999999999"/>
    <x v="4"/>
  </r>
  <r>
    <s v="ORD01943"/>
    <d v="2025-08-18T00:00:00"/>
    <x v="2"/>
    <x v="0"/>
    <x v="1"/>
    <n v="12"/>
    <n v="35.6"/>
    <n v="427.2"/>
    <n v="263.68"/>
    <n v="163.52000000000001"/>
    <x v="6"/>
  </r>
  <r>
    <s v="ORD01944"/>
    <d v="2025-12-09T00:00:00"/>
    <x v="2"/>
    <x v="1"/>
    <x v="1"/>
    <n v="37"/>
    <n v="11.09"/>
    <n v="410.33"/>
    <n v="322.61"/>
    <n v="87.72"/>
    <x v="5"/>
  </r>
  <r>
    <s v="ORD01945"/>
    <d v="2025-11-07T00:00:00"/>
    <x v="0"/>
    <x v="2"/>
    <x v="0"/>
    <n v="228"/>
    <n v="28.11"/>
    <n v="6409.08"/>
    <n v="3959.5"/>
    <n v="2449.58"/>
    <x v="3"/>
  </r>
  <r>
    <s v="ORD01946"/>
    <d v="2025-12-27T00:00:00"/>
    <x v="1"/>
    <x v="0"/>
    <x v="4"/>
    <n v="75"/>
    <n v="15.22"/>
    <n v="1141.5"/>
    <n v="737.92"/>
    <n v="403.58"/>
    <x v="5"/>
  </r>
  <r>
    <s v="ORD01947"/>
    <d v="2025-02-22T00:00:00"/>
    <x v="5"/>
    <x v="0"/>
    <x v="3"/>
    <n v="298"/>
    <n v="12.93"/>
    <n v="3853.14"/>
    <n v="2580.5500000000002"/>
    <n v="1272.5899999999999"/>
    <x v="2"/>
  </r>
  <r>
    <s v="ORD01948"/>
    <d v="2025-12-24T00:00:00"/>
    <x v="3"/>
    <x v="0"/>
    <x v="2"/>
    <n v="298"/>
    <n v="18.21"/>
    <n v="5426.58"/>
    <n v="3762.81"/>
    <n v="1663.77"/>
    <x v="5"/>
  </r>
  <r>
    <s v="ORD01949"/>
    <d v="2025-07-27T00:00:00"/>
    <x v="2"/>
    <x v="2"/>
    <x v="0"/>
    <n v="294"/>
    <n v="21.83"/>
    <n v="6418.02"/>
    <n v="5032.6899999999996"/>
    <n v="1385.33"/>
    <x v="8"/>
  </r>
  <r>
    <s v="ORD01950"/>
    <d v="2025-03-25T00:00:00"/>
    <x v="5"/>
    <x v="0"/>
    <x v="1"/>
    <n v="229"/>
    <n v="32.659999999999997"/>
    <n v="7479.14"/>
    <n v="4565.28"/>
    <n v="2913.86"/>
    <x v="4"/>
  </r>
  <r>
    <s v="ORD01951"/>
    <d v="2025-04-26T00:00:00"/>
    <x v="1"/>
    <x v="0"/>
    <x v="0"/>
    <n v="126"/>
    <n v="17.62"/>
    <n v="2220.12"/>
    <n v="1484.68"/>
    <n v="735.44"/>
    <x v="7"/>
  </r>
  <r>
    <s v="ORD01952"/>
    <d v="2025-01-13T00:00:00"/>
    <x v="4"/>
    <x v="1"/>
    <x v="2"/>
    <n v="85"/>
    <n v="14.79"/>
    <n v="1257.1500000000001"/>
    <n v="984.2"/>
    <n v="272.95"/>
    <x v="10"/>
  </r>
  <r>
    <s v="ORD01953"/>
    <d v="2025-08-11T00:00:00"/>
    <x v="3"/>
    <x v="0"/>
    <x v="2"/>
    <n v="135"/>
    <n v="17.41"/>
    <n v="2350.35"/>
    <n v="1733.54"/>
    <n v="616.80999999999995"/>
    <x v="6"/>
  </r>
  <r>
    <s v="ORD01954"/>
    <d v="2025-08-07T00:00:00"/>
    <x v="4"/>
    <x v="1"/>
    <x v="2"/>
    <n v="134"/>
    <n v="16.46"/>
    <n v="2205.64"/>
    <n v="1399.96"/>
    <n v="805.68"/>
    <x v="6"/>
  </r>
  <r>
    <s v="ORD01955"/>
    <d v="2025-05-12T00:00:00"/>
    <x v="1"/>
    <x v="2"/>
    <x v="0"/>
    <n v="280"/>
    <n v="25.79"/>
    <n v="7221.2"/>
    <n v="5705.49"/>
    <n v="1515.71"/>
    <x v="11"/>
  </r>
  <r>
    <s v="ORD01956"/>
    <d v="2025-05-31T00:00:00"/>
    <x v="1"/>
    <x v="0"/>
    <x v="5"/>
    <n v="257"/>
    <n v="15.56"/>
    <n v="3998.92"/>
    <n v="2977.7"/>
    <n v="1021.22"/>
    <x v="11"/>
  </r>
  <r>
    <s v="ORD01957"/>
    <d v="2025-01-22T00:00:00"/>
    <x v="0"/>
    <x v="1"/>
    <x v="3"/>
    <n v="80"/>
    <n v="36.04"/>
    <n v="2883.2"/>
    <n v="2067.08"/>
    <n v="816.12"/>
    <x v="10"/>
  </r>
  <r>
    <s v="ORD01958"/>
    <d v="2025-04-05T00:00:00"/>
    <x v="5"/>
    <x v="2"/>
    <x v="4"/>
    <n v="15"/>
    <n v="21.02"/>
    <n v="315.3"/>
    <n v="245.82"/>
    <n v="69.48"/>
    <x v="7"/>
  </r>
  <r>
    <s v="ORD01959"/>
    <d v="2025-02-10T00:00:00"/>
    <x v="0"/>
    <x v="2"/>
    <x v="3"/>
    <n v="150"/>
    <n v="33.630000000000003"/>
    <n v="5044.5"/>
    <n v="3921.53"/>
    <n v="1122.97"/>
    <x v="2"/>
  </r>
  <r>
    <s v="ORD01960"/>
    <d v="2025-04-04T00:00:00"/>
    <x v="0"/>
    <x v="1"/>
    <x v="3"/>
    <n v="159"/>
    <n v="24.65"/>
    <n v="3919.35"/>
    <n v="2946.96"/>
    <n v="972.39"/>
    <x v="7"/>
  </r>
  <r>
    <s v="ORD01961"/>
    <d v="2025-06-06T00:00:00"/>
    <x v="0"/>
    <x v="0"/>
    <x v="0"/>
    <n v="253"/>
    <n v="14.01"/>
    <n v="3544.53"/>
    <n v="2648.99"/>
    <n v="895.54"/>
    <x v="0"/>
  </r>
  <r>
    <s v="ORD01962"/>
    <d v="2025-08-26T00:00:00"/>
    <x v="4"/>
    <x v="2"/>
    <x v="5"/>
    <n v="245"/>
    <n v="34.380000000000003"/>
    <n v="8423.1"/>
    <n v="5484.64"/>
    <n v="2938.46"/>
    <x v="6"/>
  </r>
  <r>
    <s v="ORD01963"/>
    <d v="2025-05-02T00:00:00"/>
    <x v="3"/>
    <x v="1"/>
    <x v="2"/>
    <n v="260"/>
    <n v="29.28"/>
    <n v="7612.8"/>
    <n v="4662.8900000000003"/>
    <n v="2949.91"/>
    <x v="11"/>
  </r>
  <r>
    <s v="ORD01964"/>
    <d v="2025-07-22T00:00:00"/>
    <x v="2"/>
    <x v="1"/>
    <x v="5"/>
    <n v="207"/>
    <n v="16.600000000000001"/>
    <n v="3436.2"/>
    <n v="2072.52"/>
    <n v="1363.68"/>
    <x v="8"/>
  </r>
  <r>
    <s v="ORD01965"/>
    <d v="2025-03-24T00:00:00"/>
    <x v="4"/>
    <x v="2"/>
    <x v="2"/>
    <n v="226"/>
    <n v="17.61"/>
    <n v="3979.86"/>
    <n v="2989.7"/>
    <n v="990.16"/>
    <x v="4"/>
  </r>
  <r>
    <s v="ORD01966"/>
    <d v="2025-07-05T00:00:00"/>
    <x v="3"/>
    <x v="0"/>
    <x v="0"/>
    <n v="97"/>
    <n v="23.13"/>
    <n v="2243.61"/>
    <n v="1658.39"/>
    <n v="585.22"/>
    <x v="8"/>
  </r>
  <r>
    <s v="ORD01967"/>
    <d v="2025-04-22T00:00:00"/>
    <x v="5"/>
    <x v="2"/>
    <x v="2"/>
    <n v="230"/>
    <n v="23.73"/>
    <n v="5457.9"/>
    <n v="3826.16"/>
    <n v="1631.74"/>
    <x v="7"/>
  </r>
  <r>
    <s v="ORD01968"/>
    <d v="2025-06-28T00:00:00"/>
    <x v="4"/>
    <x v="2"/>
    <x v="3"/>
    <n v="248"/>
    <n v="25.03"/>
    <n v="6207.44"/>
    <n v="3858.48"/>
    <n v="2348.96"/>
    <x v="0"/>
  </r>
  <r>
    <s v="ORD01969"/>
    <d v="2025-04-22T00:00:00"/>
    <x v="3"/>
    <x v="2"/>
    <x v="5"/>
    <n v="53"/>
    <n v="10.119999999999999"/>
    <n v="536.36"/>
    <n v="362.13"/>
    <n v="174.23"/>
    <x v="7"/>
  </r>
  <r>
    <s v="ORD01970"/>
    <d v="2025-03-08T00:00:00"/>
    <x v="1"/>
    <x v="1"/>
    <x v="3"/>
    <n v="264"/>
    <n v="12.48"/>
    <n v="3294.72"/>
    <n v="2070.41"/>
    <n v="1224.31"/>
    <x v="4"/>
  </r>
  <r>
    <s v="ORD01971"/>
    <d v="2025-07-30T00:00:00"/>
    <x v="2"/>
    <x v="0"/>
    <x v="2"/>
    <n v="100"/>
    <n v="20.63"/>
    <n v="2063"/>
    <n v="1499.69"/>
    <n v="563.30999999999995"/>
    <x v="8"/>
  </r>
  <r>
    <s v="ORD01972"/>
    <d v="2025-12-12T00:00:00"/>
    <x v="0"/>
    <x v="0"/>
    <x v="0"/>
    <n v="93"/>
    <n v="34.19"/>
    <n v="3179.67"/>
    <n v="2193.5500000000002"/>
    <n v="986.12"/>
    <x v="5"/>
  </r>
  <r>
    <s v="ORD01973"/>
    <d v="2025-02-24T00:00:00"/>
    <x v="5"/>
    <x v="2"/>
    <x v="2"/>
    <n v="187"/>
    <n v="30.57"/>
    <n v="5716.59"/>
    <n v="3518.98"/>
    <n v="2197.61"/>
    <x v="2"/>
  </r>
  <r>
    <s v="ORD01974"/>
    <d v="2025-09-04T00:00:00"/>
    <x v="5"/>
    <x v="2"/>
    <x v="5"/>
    <n v="174"/>
    <n v="15.5"/>
    <n v="2697"/>
    <n v="1879.47"/>
    <n v="817.53"/>
    <x v="9"/>
  </r>
  <r>
    <s v="ORD01975"/>
    <d v="2025-06-16T00:00:00"/>
    <x v="4"/>
    <x v="2"/>
    <x v="3"/>
    <n v="56"/>
    <n v="11.64"/>
    <n v="651.84"/>
    <n v="449.81"/>
    <n v="202.03"/>
    <x v="0"/>
  </r>
  <r>
    <s v="ORD01976"/>
    <d v="2025-07-20T00:00:00"/>
    <x v="1"/>
    <x v="2"/>
    <x v="1"/>
    <n v="88"/>
    <n v="29.14"/>
    <n v="2564.3200000000002"/>
    <n v="2025.21"/>
    <n v="539.11"/>
    <x v="8"/>
  </r>
  <r>
    <s v="ORD01977"/>
    <d v="2025-03-14T00:00:00"/>
    <x v="0"/>
    <x v="2"/>
    <x v="5"/>
    <n v="111"/>
    <n v="17.940000000000001"/>
    <n v="1991.34"/>
    <n v="1477.95"/>
    <n v="513.39"/>
    <x v="4"/>
  </r>
  <r>
    <s v="ORD01978"/>
    <d v="2025-06-19T00:00:00"/>
    <x v="0"/>
    <x v="1"/>
    <x v="3"/>
    <n v="97"/>
    <n v="10.02"/>
    <n v="971.94"/>
    <n v="686.13"/>
    <n v="285.81"/>
    <x v="0"/>
  </r>
  <r>
    <s v="ORD01979"/>
    <d v="2025-05-22T00:00:00"/>
    <x v="2"/>
    <x v="2"/>
    <x v="2"/>
    <n v="215"/>
    <n v="33.049999999999997"/>
    <n v="7105.75"/>
    <n v="5657.21"/>
    <n v="1448.54"/>
    <x v="11"/>
  </r>
  <r>
    <s v="ORD01980"/>
    <d v="2025-01-31T00:00:00"/>
    <x v="0"/>
    <x v="2"/>
    <x v="4"/>
    <n v="25"/>
    <n v="31.14"/>
    <n v="778.5"/>
    <n v="608.33000000000004"/>
    <n v="170.17"/>
    <x v="10"/>
  </r>
  <r>
    <s v="ORD01981"/>
    <d v="2025-11-21T00:00:00"/>
    <x v="5"/>
    <x v="2"/>
    <x v="1"/>
    <n v="66"/>
    <n v="11.2"/>
    <n v="739.2"/>
    <n v="447.07"/>
    <n v="292.13"/>
    <x v="3"/>
  </r>
  <r>
    <s v="ORD01982"/>
    <d v="2025-01-22T00:00:00"/>
    <x v="4"/>
    <x v="1"/>
    <x v="2"/>
    <n v="117"/>
    <n v="38.869999999999997"/>
    <n v="4547.79"/>
    <n v="2939.41"/>
    <n v="1608.38"/>
    <x v="10"/>
  </r>
  <r>
    <s v="ORD01983"/>
    <d v="2025-02-12T00:00:00"/>
    <x v="3"/>
    <x v="1"/>
    <x v="4"/>
    <n v="113"/>
    <n v="29.32"/>
    <n v="3313.16"/>
    <n v="2281.23"/>
    <n v="1031.93"/>
    <x v="2"/>
  </r>
  <r>
    <s v="ORD01984"/>
    <d v="2025-07-30T00:00:00"/>
    <x v="2"/>
    <x v="1"/>
    <x v="3"/>
    <n v="192"/>
    <n v="15.79"/>
    <n v="3031.68"/>
    <n v="2070.87"/>
    <n v="960.81"/>
    <x v="8"/>
  </r>
  <r>
    <s v="ORD01985"/>
    <d v="2025-01-12T00:00:00"/>
    <x v="1"/>
    <x v="0"/>
    <x v="3"/>
    <n v="294"/>
    <n v="22.5"/>
    <n v="6615"/>
    <n v="4469.95"/>
    <n v="2145.0500000000002"/>
    <x v="10"/>
  </r>
  <r>
    <s v="ORD01986"/>
    <d v="2025-05-21T00:00:00"/>
    <x v="2"/>
    <x v="2"/>
    <x v="5"/>
    <n v="225"/>
    <n v="10.37"/>
    <n v="2333.25"/>
    <n v="1775.91"/>
    <n v="557.34"/>
    <x v="11"/>
  </r>
  <r>
    <s v="ORD01987"/>
    <d v="2025-03-19T00:00:00"/>
    <x v="1"/>
    <x v="2"/>
    <x v="3"/>
    <n v="300"/>
    <n v="32.36"/>
    <n v="9708"/>
    <n v="7474.21"/>
    <n v="2233.79"/>
    <x v="4"/>
  </r>
  <r>
    <s v="ORD01988"/>
    <d v="2025-04-03T00:00:00"/>
    <x v="4"/>
    <x v="1"/>
    <x v="1"/>
    <n v="114"/>
    <n v="32.65"/>
    <n v="3722.1"/>
    <n v="2562.6799999999998"/>
    <n v="1159.42"/>
    <x v="7"/>
  </r>
  <r>
    <s v="ORD01989"/>
    <d v="2025-09-15T00:00:00"/>
    <x v="3"/>
    <x v="2"/>
    <x v="3"/>
    <n v="185"/>
    <n v="39.1"/>
    <n v="7233.5"/>
    <n v="4690.93"/>
    <n v="2542.5700000000002"/>
    <x v="9"/>
  </r>
  <r>
    <s v="ORD01990"/>
    <d v="2025-03-15T00:00:00"/>
    <x v="4"/>
    <x v="0"/>
    <x v="5"/>
    <n v="163"/>
    <n v="15.4"/>
    <n v="2510.1999999999998"/>
    <n v="1827.37"/>
    <n v="682.83"/>
    <x v="4"/>
  </r>
  <r>
    <s v="ORD01991"/>
    <d v="2025-01-31T00:00:00"/>
    <x v="4"/>
    <x v="1"/>
    <x v="0"/>
    <n v="292"/>
    <n v="33.69"/>
    <n v="9837.48"/>
    <n v="7400.98"/>
    <n v="2436.5"/>
    <x v="10"/>
  </r>
  <r>
    <s v="ORD01992"/>
    <d v="2025-01-22T00:00:00"/>
    <x v="2"/>
    <x v="1"/>
    <x v="1"/>
    <n v="197"/>
    <n v="19.11"/>
    <n v="3764.67"/>
    <n v="2439.1"/>
    <n v="1325.57"/>
    <x v="10"/>
  </r>
  <r>
    <s v="ORD01993"/>
    <d v="2025-04-11T00:00:00"/>
    <x v="5"/>
    <x v="2"/>
    <x v="0"/>
    <n v="184"/>
    <n v="32.86"/>
    <n v="6046.24"/>
    <n v="4034.2"/>
    <n v="2012.04"/>
    <x v="7"/>
  </r>
  <r>
    <s v="ORD01994"/>
    <d v="2025-04-30T00:00:00"/>
    <x v="4"/>
    <x v="1"/>
    <x v="3"/>
    <n v="230"/>
    <n v="12.01"/>
    <n v="2762.3"/>
    <n v="2031.43"/>
    <n v="730.87"/>
    <x v="7"/>
  </r>
  <r>
    <s v="ORD01995"/>
    <d v="2025-12-09T00:00:00"/>
    <x v="4"/>
    <x v="2"/>
    <x v="5"/>
    <n v="24"/>
    <n v="17.04"/>
    <n v="408.96"/>
    <n v="291.55"/>
    <n v="117.41"/>
    <x v="5"/>
  </r>
  <r>
    <s v="ORD01996"/>
    <d v="2025-01-31T00:00:00"/>
    <x v="2"/>
    <x v="0"/>
    <x v="5"/>
    <n v="273"/>
    <n v="32.31"/>
    <n v="8820.6299999999992"/>
    <n v="5964.19"/>
    <n v="2856.44"/>
    <x v="10"/>
  </r>
  <r>
    <s v="ORD01997"/>
    <d v="2025-01-03T00:00:00"/>
    <x v="3"/>
    <x v="0"/>
    <x v="2"/>
    <n v="188"/>
    <n v="15.54"/>
    <n v="2921.52"/>
    <n v="2274.71"/>
    <n v="646.80999999999995"/>
    <x v="10"/>
  </r>
  <r>
    <s v="ORD01998"/>
    <d v="2025-05-26T00:00:00"/>
    <x v="0"/>
    <x v="1"/>
    <x v="2"/>
    <n v="34"/>
    <n v="38.93"/>
    <n v="1323.62"/>
    <n v="829.79"/>
    <n v="493.83"/>
    <x v="11"/>
  </r>
  <r>
    <s v="ORD01999"/>
    <d v="2025-05-10T00:00:00"/>
    <x v="2"/>
    <x v="2"/>
    <x v="1"/>
    <n v="152"/>
    <n v="20.57"/>
    <n v="3126.64"/>
    <n v="2289.21"/>
    <n v="837.43"/>
    <x v="11"/>
  </r>
  <r>
    <s v="ORD02000"/>
    <d v="2025-11-06T00:00:00"/>
    <x v="0"/>
    <x v="2"/>
    <x v="3"/>
    <n v="196"/>
    <n v="14.2"/>
    <n v="2783.2"/>
    <n v="2131.19"/>
    <n v="652.0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3A098-034E-4D8E-8D0C-1FE718720D42}" name="PivotTable18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S3:T6" firstHeaderRow="1" firstDataRow="1" firstDataCol="1"/>
  <pivotFields count="11">
    <pivotField compact="0" outline="0" showAll="0"/>
    <pivotField compact="0" numFmtId="14" outline="0" showAll="0"/>
    <pivotField compact="0" outline="0" showAll="0">
      <items count="7">
        <item x="5"/>
        <item h="1" x="0"/>
        <item h="1" x="2"/>
        <item x="1"/>
        <item h="1" x="4"/>
        <item h="1" x="3"/>
        <item t="default"/>
      </items>
    </pivotField>
    <pivotField axis="axisRow" compact="0" outline="0" showAll="0">
      <items count="4">
        <item h="1" x="1"/>
        <item x="0"/>
        <item x="2"/>
        <item t="default"/>
      </items>
    </pivotField>
    <pivotField compact="0" outline="0" showAll="0">
      <items count="7">
        <item x="0"/>
        <item x="4"/>
        <item x="5"/>
        <item h="1" x="2"/>
        <item h="1" x="3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D8CF3-0661-4643-913D-289E8DD6AC89}" name="PivotTable16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K3:L7" firstHeaderRow="1" firstDataRow="1" firstDataCol="1"/>
  <pivotFields count="11">
    <pivotField compact="0" outline="0" showAll="0"/>
    <pivotField compact="0" numFmtId="14" outline="0" showAll="0"/>
    <pivotField compact="0" outline="0" showAll="0">
      <items count="7">
        <item x="5"/>
        <item h="1" x="0"/>
        <item h="1" x="2"/>
        <item x="1"/>
        <item h="1" x="4"/>
        <item h="1" x="3"/>
        <item t="default"/>
      </items>
    </pivotField>
    <pivotField compact="0" outline="0" showAll="0">
      <items count="4">
        <item h="1" x="1"/>
        <item x="0"/>
        <item x="2"/>
        <item t="default"/>
      </items>
    </pivotField>
    <pivotField axis="axisRow" compact="0" outline="0" showAll="0">
      <items count="7">
        <item x="0"/>
        <item x="4"/>
        <item x="5"/>
        <item h="1" x="2"/>
        <item h="1" x="3"/>
        <item h="1"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DF8F3-8753-4F6D-9847-FC81E53E58E0}" name="PivotTable15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1">
    <pivotField compact="0" outline="0" showAll="0"/>
    <pivotField compact="0" numFmtId="14" outline="0" showAll="0"/>
    <pivotField compact="0" outline="0" showAll="0">
      <items count="7">
        <item x="5"/>
        <item h="1" x="0"/>
        <item h="1" x="2"/>
        <item x="1"/>
        <item h="1" x="4"/>
        <item h="1" x="3"/>
        <item t="default"/>
      </items>
    </pivotField>
    <pivotField compact="0" outline="0" showAll="0">
      <items count="4">
        <item h="1" x="1"/>
        <item x="0"/>
        <item x="2"/>
        <item t="default"/>
      </items>
    </pivotField>
    <pivotField axis="axisRow" compact="0" outline="0" showAll="0">
      <items count="7">
        <item x="0"/>
        <item x="4"/>
        <item x="5"/>
        <item h="1" x="2"/>
        <item h="1" x="3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50611-978D-4FED-9D6C-CCE26F91E102}" name="PivotTable20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J14:K27" firstHeaderRow="1" firstDataRow="1" firstDataCol="1"/>
  <pivotFields count="11">
    <pivotField compact="0" outline="0" showAll="0"/>
    <pivotField compact="0" numFmtId="14" outline="0" showAll="0"/>
    <pivotField compact="0" outline="0" showAll="0">
      <items count="7">
        <item x="5"/>
        <item h="1" x="0"/>
        <item h="1" x="2"/>
        <item x="1"/>
        <item h="1" x="4"/>
        <item h="1" x="3"/>
        <item t="default"/>
      </items>
    </pivotField>
    <pivotField compact="0" outline="0" showAll="0">
      <items count="4">
        <item h="1" x="1"/>
        <item x="0"/>
        <item x="2"/>
        <item t="default"/>
      </items>
    </pivotField>
    <pivotField compact="0" outline="0" showAll="0">
      <items count="7">
        <item x="0"/>
        <item x="4"/>
        <item x="5"/>
        <item h="1" x="2"/>
        <item h="1" x="3"/>
        <item h="1"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10"/>
        <item x="2"/>
        <item x="4"/>
        <item x="7"/>
        <item x="11"/>
        <item x="0"/>
        <item x="8"/>
        <item x="6"/>
        <item x="9"/>
        <item x="1"/>
        <item x="3"/>
        <item x="5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E0C9F-F6AA-4A16-B457-6FB9BA109258}" name="PivotTable19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5:B18" firstHeaderRow="1" firstDataRow="1" firstDataCol="1"/>
  <pivotFields count="11">
    <pivotField compact="0" outline="0" showAll="0"/>
    <pivotField compact="0" numFmtId="14" outline="0" showAll="0"/>
    <pivotField axis="axisRow" compact="0" outline="0" showAll="0">
      <items count="7">
        <item x="5"/>
        <item h="1" x="0"/>
        <item h="1" x="2"/>
        <item x="1"/>
        <item h="1" x="4"/>
        <item h="1" x="3"/>
        <item t="default"/>
      </items>
    </pivotField>
    <pivotField compact="0" outline="0" showAll="0">
      <items count="4">
        <item h="1" x="1"/>
        <item x="0"/>
        <item x="2"/>
        <item t="default"/>
      </items>
    </pivotField>
    <pivotField compact="0" outline="0" showAll="0">
      <items count="7">
        <item x="0"/>
        <item x="4"/>
        <item x="5"/>
        <item h="1" x="2"/>
        <item h="1" x="3"/>
        <item h="1"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B954DDD7-3E95-4A33-B783-5F0B3D064B19}" sourceName="City">
  <pivotTables>
    <pivotTable tabId="8" name="PivotTable16"/>
    <pivotTable tabId="8" name="PivotTable20"/>
    <pivotTable tabId="8" name="PivotTable19"/>
    <pivotTable tabId="8" name="PivotTable15"/>
    <pivotTable tabId="8" name="PivotTable18"/>
  </pivotTables>
  <data>
    <tabular pivotCacheId="1851903950">
      <items count="6">
        <i x="5" s="1"/>
        <i x="0"/>
        <i x="2"/>
        <i x="1" s="1"/>
        <i x="4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" xr10:uid="{F257D064-89C0-48F7-AEE3-198E09479438}" sourceName="Channel">
  <pivotTables>
    <pivotTable tabId="8" name="PivotTable16"/>
    <pivotTable tabId="8" name="PivotTable20"/>
    <pivotTable tabId="8" name="PivotTable19"/>
    <pivotTable tabId="8" name="PivotTable18"/>
    <pivotTable tabId="8" name="PivotTable15"/>
  </pivotTables>
  <data>
    <tabular pivotCacheId="1851903950">
      <items count="3">
        <i x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okie_Type" xr10:uid="{23069D5F-B3D0-48DB-9DBF-AC926CE79A22}" sourceName="Cookie_Type">
  <pivotTables>
    <pivotTable tabId="8" name="PivotTable16"/>
    <pivotTable tabId="8" name="PivotTable15"/>
    <pivotTable tabId="8" name="PivotTable18"/>
    <pivotTable tabId="8" name="PivotTable19"/>
    <pivotTable tabId="8" name="PivotTable20"/>
  </pivotTables>
  <data>
    <tabular pivotCacheId="1851903950">
      <items count="6">
        <i x="0" s="1"/>
        <i x="4" s="1"/>
        <i x="5" s="1"/>
        <i x="2"/>
        <i x="3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5F60633D-F320-455F-9BE6-B10AA9B8CB23}" cache="Slicer_City" caption="City" rowHeight="228600"/>
  <slicer name="Channel" xr10:uid="{535C88F4-BE91-4A30-B669-B6048C155260}" cache="Slicer_Channel" caption="Channel" rowHeight="228600"/>
  <slicer name="Cookie_Type" xr10:uid="{17A299EF-53DD-4501-9135-CCD198F95CD7}" cache="Slicer_Cookie_Type" caption="Cookie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 1" xr10:uid="{2D42E237-6AF1-4540-87AF-ECB73E9E1A28}" cache="Slicer_City" caption="City" rowHeight="228600"/>
  <slicer name="Channel 1" xr10:uid="{B284FEB1-195C-4690-8489-D5DAEFF2042F}" cache="Slicer_Channel" caption="Channel" rowHeight="228600"/>
  <slicer name="Channel 2" xr10:uid="{13FF244B-FF14-4C15-B8E4-3856A640F113}" cache="Slicer_Channel" caption="Channel" rowHeight="228600"/>
  <slicer name="Channel 3" xr10:uid="{0A6F6953-AFF8-4C82-B58F-387DB072DC94}" cache="Slicer_Channel" caption="Channel" rowHeight="228600"/>
  <slicer name="Cookie_Type 1" xr10:uid="{60337529-390E-4CB0-AE84-9B3E8CD11ED5}" cache="Slicer_Cookie_Type" caption="Cookie_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46B9A1-5E47-499D-B8C5-AE03202301A5}" name="Table13" displayName="Table13" ref="A1:K2001" totalsRowShown="0" headerRowDxfId="14" dataDxfId="13" headerRowBorderDxfId="11" tableBorderDxfId="12">
  <autoFilter ref="A1:K2001" xr:uid="{F846B9A1-5E47-499D-B8C5-AE03202301A5}"/>
  <tableColumns count="11">
    <tableColumn id="1" xr3:uid="{D47F563F-FB06-42EB-BDEC-2EA789B6431B}" name="Order_No" dataDxfId="10"/>
    <tableColumn id="2" xr3:uid="{81AEAE05-29FC-470D-A613-8C4A11A22595}" name="Order_Date" dataDxfId="9"/>
    <tableColumn id="3" xr3:uid="{6D094F66-2EB9-4E2A-93D4-711D5151D629}" name="City" dataDxfId="8"/>
    <tableColumn id="4" xr3:uid="{CAA5D21D-1EC2-4B32-A23F-5F3C3D2090ED}" name="Channel" dataDxfId="7"/>
    <tableColumn id="5" xr3:uid="{2480BA47-A4DC-4EAE-837B-B9C4418ED93E}" name="Cookie_Type" dataDxfId="6"/>
    <tableColumn id="6" xr3:uid="{F22644A4-5992-4B7D-8E2F-2A889EA09B43}" name="Quantity" dataDxfId="5"/>
    <tableColumn id="7" xr3:uid="{E34B382D-FC18-472A-88DE-54BAFCBE113D}" name="Unit_Price" dataDxfId="4"/>
    <tableColumn id="8" xr3:uid="{44304B90-12AF-4825-943C-9DF997CD2DF4}" name="Sales" dataDxfId="3"/>
    <tableColumn id="9" xr3:uid="{94BE581B-0485-4978-9765-34A19A87AB2F}" name="Cost" dataDxfId="2"/>
    <tableColumn id="10" xr3:uid="{7FBE44A9-1E34-4504-8BA9-1D8B986CFBEC}" name="Profit" dataDxfId="1"/>
    <tableColumn id="11" xr3:uid="{392FA6E0-7029-42C5-943F-8ADCD1F01B6F}" name="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41E4-4750-4933-9901-BB927117C67E}">
  <dimension ref="A1:K2001"/>
  <sheetViews>
    <sheetView topLeftCell="F8" workbookViewId="0">
      <selection activeCell="N10" sqref="N10"/>
    </sheetView>
  </sheetViews>
  <sheetFormatPr defaultRowHeight="15"/>
  <cols>
    <col min="1" max="1" width="11.7109375" customWidth="1"/>
    <col min="2" max="2" width="13.5703125" bestFit="1" customWidth="1"/>
    <col min="3" max="3" width="11.42578125" bestFit="1" customWidth="1"/>
    <col min="5" max="5" width="14.140625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</row>
    <row r="2" spans="1:11">
      <c r="A2" s="1" t="s">
        <v>11</v>
      </c>
      <c r="B2" s="2">
        <v>45823</v>
      </c>
      <c r="C2" s="1" t="s">
        <v>12</v>
      </c>
      <c r="D2" s="1" t="s">
        <v>13</v>
      </c>
      <c r="E2" s="1" t="s">
        <v>14</v>
      </c>
      <c r="F2" s="1">
        <v>87</v>
      </c>
      <c r="G2" s="1">
        <v>21.84</v>
      </c>
      <c r="H2" s="1">
        <v>1900.08</v>
      </c>
      <c r="I2" s="1">
        <v>1158.4000000000001</v>
      </c>
      <c r="J2" s="1">
        <v>741.68</v>
      </c>
      <c r="K2" s="8" t="str">
        <f t="shared" ref="K2:K65" si="0">TEXT(B2,"mmm")</f>
        <v>Jun</v>
      </c>
    </row>
    <row r="3" spans="1:11">
      <c r="A3" s="1" t="s">
        <v>15</v>
      </c>
      <c r="B3" s="2">
        <v>45956</v>
      </c>
      <c r="C3" s="1" t="s">
        <v>16</v>
      </c>
      <c r="D3" s="1" t="s">
        <v>17</v>
      </c>
      <c r="E3" s="1" t="s">
        <v>18</v>
      </c>
      <c r="F3" s="1">
        <v>39</v>
      </c>
      <c r="G3" s="1">
        <v>37.29</v>
      </c>
      <c r="H3" s="1">
        <v>1454.31</v>
      </c>
      <c r="I3" s="1">
        <v>935.03</v>
      </c>
      <c r="J3" s="1">
        <v>519.28</v>
      </c>
      <c r="K3" s="8" t="str">
        <f t="shared" si="0"/>
        <v>Oct</v>
      </c>
    </row>
    <row r="4" spans="1:11">
      <c r="A4" s="1" t="s">
        <v>19</v>
      </c>
      <c r="B4" s="2">
        <v>45693</v>
      </c>
      <c r="C4" s="1" t="s">
        <v>12</v>
      </c>
      <c r="D4" s="1" t="s">
        <v>13</v>
      </c>
      <c r="E4" s="1" t="s">
        <v>20</v>
      </c>
      <c r="F4" s="1">
        <v>133</v>
      </c>
      <c r="G4" s="1">
        <v>12.72</v>
      </c>
      <c r="H4" s="1">
        <v>1691.76</v>
      </c>
      <c r="I4" s="1">
        <v>1158.69</v>
      </c>
      <c r="J4" s="1">
        <v>533.07000000000005</v>
      </c>
      <c r="K4" s="8" t="str">
        <f t="shared" si="0"/>
        <v>Feb</v>
      </c>
    </row>
    <row r="5" spans="1:11">
      <c r="A5" s="1" t="s">
        <v>21</v>
      </c>
      <c r="B5" s="2">
        <v>45980</v>
      </c>
      <c r="C5" s="1" t="s">
        <v>22</v>
      </c>
      <c r="D5" s="1" t="s">
        <v>13</v>
      </c>
      <c r="E5" s="1" t="s">
        <v>23</v>
      </c>
      <c r="F5" s="1">
        <v>41</v>
      </c>
      <c r="G5" s="1">
        <v>27.31</v>
      </c>
      <c r="H5" s="1">
        <v>1119.71</v>
      </c>
      <c r="I5" s="1">
        <v>760.66</v>
      </c>
      <c r="J5" s="1">
        <v>359.05</v>
      </c>
      <c r="K5" s="8" t="str">
        <f t="shared" si="0"/>
        <v>Nov</v>
      </c>
    </row>
    <row r="6" spans="1:11">
      <c r="A6" s="1" t="s">
        <v>24</v>
      </c>
      <c r="B6" s="2">
        <v>45726</v>
      </c>
      <c r="C6" s="1" t="s">
        <v>12</v>
      </c>
      <c r="D6" s="1" t="s">
        <v>17</v>
      </c>
      <c r="E6" s="1" t="s">
        <v>23</v>
      </c>
      <c r="F6" s="1">
        <v>158</v>
      </c>
      <c r="G6" s="1">
        <v>22.57</v>
      </c>
      <c r="H6" s="1">
        <v>3566.06</v>
      </c>
      <c r="I6" s="1">
        <v>2525.2600000000002</v>
      </c>
      <c r="J6" s="1">
        <v>1040.8</v>
      </c>
      <c r="K6" s="8" t="str">
        <f t="shared" si="0"/>
        <v>Mar</v>
      </c>
    </row>
    <row r="7" spans="1:11">
      <c r="A7" s="1" t="s">
        <v>25</v>
      </c>
      <c r="B7" s="2">
        <v>46007</v>
      </c>
      <c r="C7" s="1" t="s">
        <v>22</v>
      </c>
      <c r="D7" s="1" t="s">
        <v>17</v>
      </c>
      <c r="E7" s="1" t="s">
        <v>26</v>
      </c>
      <c r="F7" s="1">
        <v>102</v>
      </c>
      <c r="G7" s="1">
        <v>13.09</v>
      </c>
      <c r="H7" s="1">
        <v>1335.18</v>
      </c>
      <c r="I7" s="1">
        <v>953.64</v>
      </c>
      <c r="J7" s="1">
        <v>381.54</v>
      </c>
      <c r="K7" s="8" t="str">
        <f t="shared" si="0"/>
        <v>Dec</v>
      </c>
    </row>
    <row r="8" spans="1:11">
      <c r="A8" s="1" t="s">
        <v>27</v>
      </c>
      <c r="B8" s="2">
        <v>45938</v>
      </c>
      <c r="C8" s="1" t="s">
        <v>28</v>
      </c>
      <c r="D8" s="1" t="s">
        <v>29</v>
      </c>
      <c r="E8" s="1" t="s">
        <v>23</v>
      </c>
      <c r="F8" s="1">
        <v>42</v>
      </c>
      <c r="G8" s="1">
        <v>26.93</v>
      </c>
      <c r="H8" s="1">
        <v>1131.06</v>
      </c>
      <c r="I8" s="1">
        <v>818.66</v>
      </c>
      <c r="J8" s="1">
        <v>312.39999999999998</v>
      </c>
      <c r="K8" s="8" t="str">
        <f t="shared" si="0"/>
        <v>Oct</v>
      </c>
    </row>
    <row r="9" spans="1:11">
      <c r="A9" s="1" t="s">
        <v>30</v>
      </c>
      <c r="B9" s="2">
        <v>45876</v>
      </c>
      <c r="C9" s="1" t="s">
        <v>31</v>
      </c>
      <c r="D9" s="1" t="s">
        <v>17</v>
      </c>
      <c r="E9" s="1" t="s">
        <v>20</v>
      </c>
      <c r="F9" s="1">
        <v>170</v>
      </c>
      <c r="G9" s="1">
        <v>23.97</v>
      </c>
      <c r="H9" s="1">
        <v>4074.9</v>
      </c>
      <c r="I9" s="1">
        <v>3197.53</v>
      </c>
      <c r="J9" s="1">
        <v>877.37</v>
      </c>
      <c r="K9" s="8" t="str">
        <f t="shared" si="0"/>
        <v>Aug</v>
      </c>
    </row>
    <row r="10" spans="1:11">
      <c r="A10" s="1" t="s">
        <v>32</v>
      </c>
      <c r="B10" s="2">
        <v>45750</v>
      </c>
      <c r="C10" s="1" t="s">
        <v>28</v>
      </c>
      <c r="D10" s="1" t="s">
        <v>17</v>
      </c>
      <c r="E10" s="1" t="s">
        <v>33</v>
      </c>
      <c r="F10" s="1">
        <v>134</v>
      </c>
      <c r="G10" s="1">
        <v>12.46</v>
      </c>
      <c r="H10" s="1">
        <v>1669.64</v>
      </c>
      <c r="I10" s="1">
        <v>1102.05</v>
      </c>
      <c r="J10" s="1">
        <v>567.59</v>
      </c>
      <c r="K10" s="8" t="str">
        <f t="shared" si="0"/>
        <v>Apr</v>
      </c>
    </row>
    <row r="11" spans="1:11">
      <c r="A11" s="1" t="s">
        <v>34</v>
      </c>
      <c r="B11" s="2">
        <v>45887</v>
      </c>
      <c r="C11" s="1" t="s">
        <v>12</v>
      </c>
      <c r="D11" s="1" t="s">
        <v>17</v>
      </c>
      <c r="E11" s="1" t="s">
        <v>20</v>
      </c>
      <c r="F11" s="1">
        <v>157</v>
      </c>
      <c r="G11" s="1">
        <v>28.27</v>
      </c>
      <c r="H11" s="1">
        <v>4438.3900000000003</v>
      </c>
      <c r="I11" s="1">
        <v>2728.01</v>
      </c>
      <c r="J11" s="1">
        <v>1710.38</v>
      </c>
      <c r="K11" s="8" t="str">
        <f t="shared" si="0"/>
        <v>Aug</v>
      </c>
    </row>
    <row r="12" spans="1:11">
      <c r="A12" s="1" t="s">
        <v>35</v>
      </c>
      <c r="B12" s="2">
        <v>45833</v>
      </c>
      <c r="C12" s="1" t="s">
        <v>36</v>
      </c>
      <c r="D12" s="1" t="s">
        <v>13</v>
      </c>
      <c r="E12" s="1" t="s">
        <v>23</v>
      </c>
      <c r="F12" s="1">
        <v>87</v>
      </c>
      <c r="G12" s="1">
        <v>38</v>
      </c>
      <c r="H12" s="1">
        <v>3306</v>
      </c>
      <c r="I12" s="1">
        <v>2262.4299999999998</v>
      </c>
      <c r="J12" s="1">
        <v>1043.57</v>
      </c>
      <c r="K12" s="8" t="str">
        <f t="shared" si="0"/>
        <v>Jun</v>
      </c>
    </row>
    <row r="13" spans="1:11">
      <c r="A13" s="1" t="s">
        <v>37</v>
      </c>
      <c r="B13" s="2">
        <v>45951</v>
      </c>
      <c r="C13" s="1" t="s">
        <v>28</v>
      </c>
      <c r="D13" s="1" t="s">
        <v>29</v>
      </c>
      <c r="E13" s="1" t="s">
        <v>18</v>
      </c>
      <c r="F13" s="1">
        <v>170</v>
      </c>
      <c r="G13" s="1">
        <v>20.2</v>
      </c>
      <c r="H13" s="1">
        <v>3434</v>
      </c>
      <c r="I13" s="1">
        <v>2300.9</v>
      </c>
      <c r="J13" s="1">
        <v>1133.0999999999999</v>
      </c>
      <c r="K13" s="8" t="str">
        <f t="shared" si="0"/>
        <v>Oct</v>
      </c>
    </row>
    <row r="14" spans="1:11">
      <c r="A14" s="1" t="s">
        <v>38</v>
      </c>
      <c r="B14" s="2">
        <v>45693</v>
      </c>
      <c r="C14" s="1" t="s">
        <v>36</v>
      </c>
      <c r="D14" s="1" t="s">
        <v>13</v>
      </c>
      <c r="E14" s="1" t="s">
        <v>26</v>
      </c>
      <c r="F14" s="1">
        <v>57</v>
      </c>
      <c r="G14" s="1">
        <v>38.340000000000003</v>
      </c>
      <c r="H14" s="1">
        <v>2185.38</v>
      </c>
      <c r="I14" s="1">
        <v>1518.45</v>
      </c>
      <c r="J14" s="1">
        <v>666.93</v>
      </c>
      <c r="K14" s="8" t="str">
        <f t="shared" si="0"/>
        <v>Feb</v>
      </c>
    </row>
    <row r="15" spans="1:11">
      <c r="A15" s="1" t="s">
        <v>39</v>
      </c>
      <c r="B15" s="2">
        <v>46017</v>
      </c>
      <c r="C15" s="1" t="s">
        <v>28</v>
      </c>
      <c r="D15" s="1" t="s">
        <v>17</v>
      </c>
      <c r="E15" s="1" t="s">
        <v>33</v>
      </c>
      <c r="F15" s="1">
        <v>168</v>
      </c>
      <c r="G15" s="1">
        <v>29.41</v>
      </c>
      <c r="H15" s="1">
        <v>4940.88</v>
      </c>
      <c r="I15" s="1">
        <v>3945.88</v>
      </c>
      <c r="J15" s="1">
        <v>995</v>
      </c>
      <c r="K15" s="8" t="str">
        <f t="shared" si="0"/>
        <v>Dec</v>
      </c>
    </row>
    <row r="16" spans="1:11">
      <c r="A16" s="1" t="s">
        <v>40</v>
      </c>
      <c r="B16" s="2">
        <v>45855</v>
      </c>
      <c r="C16" s="1" t="s">
        <v>22</v>
      </c>
      <c r="D16" s="1" t="s">
        <v>29</v>
      </c>
      <c r="E16" s="1" t="s">
        <v>26</v>
      </c>
      <c r="F16" s="1">
        <v>187</v>
      </c>
      <c r="G16" s="1">
        <v>10.68</v>
      </c>
      <c r="H16" s="1">
        <v>1997.16</v>
      </c>
      <c r="I16" s="1">
        <v>1382.71</v>
      </c>
      <c r="J16" s="1">
        <v>614.45000000000005</v>
      </c>
      <c r="K16" s="8" t="str">
        <f t="shared" si="0"/>
        <v>Jul</v>
      </c>
    </row>
    <row r="17" spans="1:11">
      <c r="A17" s="1" t="s">
        <v>41</v>
      </c>
      <c r="B17" s="2">
        <v>45910</v>
      </c>
      <c r="C17" s="1" t="s">
        <v>36</v>
      </c>
      <c r="D17" s="1" t="s">
        <v>13</v>
      </c>
      <c r="E17" s="1" t="s">
        <v>18</v>
      </c>
      <c r="F17" s="1">
        <v>40</v>
      </c>
      <c r="G17" s="1">
        <v>16.55</v>
      </c>
      <c r="H17" s="1">
        <v>662</v>
      </c>
      <c r="I17" s="1">
        <v>435.26</v>
      </c>
      <c r="J17" s="1">
        <v>226.74</v>
      </c>
      <c r="K17" s="8" t="str">
        <f t="shared" si="0"/>
        <v>Sep</v>
      </c>
    </row>
    <row r="18" spans="1:11">
      <c r="A18" s="1" t="s">
        <v>42</v>
      </c>
      <c r="B18" s="2">
        <v>45858</v>
      </c>
      <c r="C18" s="1" t="s">
        <v>12</v>
      </c>
      <c r="D18" s="1" t="s">
        <v>17</v>
      </c>
      <c r="E18" s="1" t="s">
        <v>20</v>
      </c>
      <c r="F18" s="1">
        <v>264</v>
      </c>
      <c r="G18" s="1">
        <v>12.42</v>
      </c>
      <c r="H18" s="1">
        <v>3278.88</v>
      </c>
      <c r="I18" s="1">
        <v>2261.89</v>
      </c>
      <c r="J18" s="1">
        <v>1016.99</v>
      </c>
      <c r="K18" s="8" t="str">
        <f t="shared" si="0"/>
        <v>Jul</v>
      </c>
    </row>
    <row r="19" spans="1:11">
      <c r="A19" s="1" t="s">
        <v>43</v>
      </c>
      <c r="B19" s="2">
        <v>45878</v>
      </c>
      <c r="C19" s="1" t="s">
        <v>31</v>
      </c>
      <c r="D19" s="1" t="s">
        <v>29</v>
      </c>
      <c r="E19" s="1" t="s">
        <v>18</v>
      </c>
      <c r="F19" s="1">
        <v>291</v>
      </c>
      <c r="G19" s="1">
        <v>18.350000000000001</v>
      </c>
      <c r="H19" s="1">
        <v>5339.85</v>
      </c>
      <c r="I19" s="1">
        <v>3647.43</v>
      </c>
      <c r="J19" s="1">
        <v>1692.42</v>
      </c>
      <c r="K19" s="8" t="str">
        <f t="shared" si="0"/>
        <v>Aug</v>
      </c>
    </row>
    <row r="20" spans="1:11">
      <c r="A20" s="1" t="s">
        <v>44</v>
      </c>
      <c r="B20" s="2">
        <v>45776</v>
      </c>
      <c r="C20" s="1" t="s">
        <v>36</v>
      </c>
      <c r="D20" s="1" t="s">
        <v>13</v>
      </c>
      <c r="E20" s="1" t="s">
        <v>26</v>
      </c>
      <c r="F20" s="1">
        <v>87</v>
      </c>
      <c r="G20" s="1">
        <v>12.49</v>
      </c>
      <c r="H20" s="1">
        <v>1086.6300000000001</v>
      </c>
      <c r="I20" s="1">
        <v>684.86</v>
      </c>
      <c r="J20" s="1">
        <v>401.77</v>
      </c>
      <c r="K20" s="8" t="str">
        <f t="shared" si="0"/>
        <v>Apr</v>
      </c>
    </row>
    <row r="21" spans="1:11">
      <c r="A21" s="1" t="s">
        <v>45</v>
      </c>
      <c r="B21" s="2">
        <v>45906</v>
      </c>
      <c r="C21" s="1" t="s">
        <v>28</v>
      </c>
      <c r="D21" s="1" t="s">
        <v>29</v>
      </c>
      <c r="E21" s="1" t="s">
        <v>14</v>
      </c>
      <c r="F21" s="1">
        <v>103</v>
      </c>
      <c r="G21" s="1">
        <v>17.88</v>
      </c>
      <c r="H21" s="1">
        <v>1841.64</v>
      </c>
      <c r="I21" s="1">
        <v>1106.49</v>
      </c>
      <c r="J21" s="1">
        <v>735.15</v>
      </c>
      <c r="K21" s="8" t="str">
        <f t="shared" si="0"/>
        <v>Sep</v>
      </c>
    </row>
    <row r="22" spans="1:11">
      <c r="A22" s="1" t="s">
        <v>46</v>
      </c>
      <c r="B22" s="2">
        <v>45970</v>
      </c>
      <c r="C22" s="1" t="s">
        <v>12</v>
      </c>
      <c r="D22" s="1" t="s">
        <v>29</v>
      </c>
      <c r="E22" s="1" t="s">
        <v>33</v>
      </c>
      <c r="F22" s="1">
        <v>299</v>
      </c>
      <c r="G22" s="1">
        <v>19.559999999999999</v>
      </c>
      <c r="H22" s="1">
        <v>5848.44</v>
      </c>
      <c r="I22" s="1">
        <v>3655.85</v>
      </c>
      <c r="J22" s="1">
        <v>2192.59</v>
      </c>
      <c r="K22" s="8" t="str">
        <f t="shared" si="0"/>
        <v>Nov</v>
      </c>
    </row>
    <row r="23" spans="1:11">
      <c r="A23" s="1" t="s">
        <v>47</v>
      </c>
      <c r="B23" s="2">
        <v>46004</v>
      </c>
      <c r="C23" s="1" t="s">
        <v>36</v>
      </c>
      <c r="D23" s="1" t="s">
        <v>29</v>
      </c>
      <c r="E23" s="1" t="s">
        <v>18</v>
      </c>
      <c r="F23" s="1">
        <v>37</v>
      </c>
      <c r="G23" s="1">
        <v>23.7</v>
      </c>
      <c r="H23" s="1">
        <v>876.9</v>
      </c>
      <c r="I23" s="1">
        <v>678.89</v>
      </c>
      <c r="J23" s="1">
        <v>198.01</v>
      </c>
      <c r="K23" s="8" t="str">
        <f t="shared" si="0"/>
        <v>Dec</v>
      </c>
    </row>
    <row r="24" spans="1:11">
      <c r="A24" s="1" t="s">
        <v>48</v>
      </c>
      <c r="B24" s="2">
        <v>45861</v>
      </c>
      <c r="C24" s="1" t="s">
        <v>28</v>
      </c>
      <c r="D24" s="1" t="s">
        <v>13</v>
      </c>
      <c r="E24" s="1" t="s">
        <v>20</v>
      </c>
      <c r="F24" s="1">
        <v>214</v>
      </c>
      <c r="G24" s="1">
        <v>21.82</v>
      </c>
      <c r="H24" s="1">
        <v>4669.4799999999996</v>
      </c>
      <c r="I24" s="1">
        <v>3251.38</v>
      </c>
      <c r="J24" s="1">
        <v>1418.1</v>
      </c>
      <c r="K24" s="8" t="str">
        <f t="shared" si="0"/>
        <v>Jul</v>
      </c>
    </row>
    <row r="25" spans="1:11">
      <c r="A25" s="1" t="s">
        <v>49</v>
      </c>
      <c r="B25" s="2">
        <v>45692</v>
      </c>
      <c r="C25" s="1" t="s">
        <v>12</v>
      </c>
      <c r="D25" s="1" t="s">
        <v>13</v>
      </c>
      <c r="E25" s="1" t="s">
        <v>26</v>
      </c>
      <c r="F25" s="1">
        <v>116</v>
      </c>
      <c r="G25" s="1">
        <v>23.22</v>
      </c>
      <c r="H25" s="1">
        <v>2693.52</v>
      </c>
      <c r="I25" s="1">
        <v>1675.33</v>
      </c>
      <c r="J25" s="1">
        <v>1018.19</v>
      </c>
      <c r="K25" s="8" t="str">
        <f t="shared" si="0"/>
        <v>Feb</v>
      </c>
    </row>
    <row r="26" spans="1:11">
      <c r="A26" s="1" t="s">
        <v>50</v>
      </c>
      <c r="B26" s="2">
        <v>45658</v>
      </c>
      <c r="C26" s="1" t="s">
        <v>31</v>
      </c>
      <c r="D26" s="1" t="s">
        <v>29</v>
      </c>
      <c r="E26" s="1" t="s">
        <v>26</v>
      </c>
      <c r="F26" s="1">
        <v>300</v>
      </c>
      <c r="G26" s="1">
        <v>14.54</v>
      </c>
      <c r="H26" s="1">
        <v>4362</v>
      </c>
      <c r="I26" s="1">
        <v>2705.72</v>
      </c>
      <c r="J26" s="1">
        <v>1656.28</v>
      </c>
      <c r="K26" s="8" t="str">
        <f t="shared" si="0"/>
        <v>Jan</v>
      </c>
    </row>
    <row r="27" spans="1:11">
      <c r="A27" s="1" t="s">
        <v>51</v>
      </c>
      <c r="B27" s="2">
        <v>45694</v>
      </c>
      <c r="C27" s="1" t="s">
        <v>31</v>
      </c>
      <c r="D27" s="1" t="s">
        <v>17</v>
      </c>
      <c r="E27" s="1" t="s">
        <v>23</v>
      </c>
      <c r="F27" s="1">
        <v>116</v>
      </c>
      <c r="G27" s="1">
        <v>28.42</v>
      </c>
      <c r="H27" s="1">
        <v>3296.72</v>
      </c>
      <c r="I27" s="1">
        <v>2075.98</v>
      </c>
      <c r="J27" s="1">
        <v>1220.74</v>
      </c>
      <c r="K27" s="8" t="str">
        <f t="shared" si="0"/>
        <v>Feb</v>
      </c>
    </row>
    <row r="28" spans="1:11">
      <c r="A28" s="1" t="s">
        <v>52</v>
      </c>
      <c r="B28" s="2">
        <v>45844</v>
      </c>
      <c r="C28" s="1" t="s">
        <v>28</v>
      </c>
      <c r="D28" s="1" t="s">
        <v>17</v>
      </c>
      <c r="E28" s="1" t="s">
        <v>18</v>
      </c>
      <c r="F28" s="1">
        <v>252</v>
      </c>
      <c r="G28" s="1">
        <v>13.69</v>
      </c>
      <c r="H28" s="1">
        <v>3449.88</v>
      </c>
      <c r="I28" s="1">
        <v>2655.67</v>
      </c>
      <c r="J28" s="1">
        <v>794.21</v>
      </c>
      <c r="K28" s="8" t="str">
        <f t="shared" si="0"/>
        <v>Jul</v>
      </c>
    </row>
    <row r="29" spans="1:11">
      <c r="A29" s="1" t="s">
        <v>53</v>
      </c>
      <c r="B29" s="2">
        <v>45817</v>
      </c>
      <c r="C29" s="1" t="s">
        <v>36</v>
      </c>
      <c r="D29" s="1" t="s">
        <v>17</v>
      </c>
      <c r="E29" s="1" t="s">
        <v>18</v>
      </c>
      <c r="F29" s="1">
        <v>53</v>
      </c>
      <c r="G29" s="1">
        <v>14.32</v>
      </c>
      <c r="H29" s="1">
        <v>758.96</v>
      </c>
      <c r="I29" s="1">
        <v>569.16999999999996</v>
      </c>
      <c r="J29" s="1">
        <v>189.79</v>
      </c>
      <c r="K29" s="8" t="str">
        <f t="shared" si="0"/>
        <v>Jun</v>
      </c>
    </row>
    <row r="30" spans="1:11">
      <c r="A30" s="1" t="s">
        <v>54</v>
      </c>
      <c r="B30" s="2">
        <v>46012</v>
      </c>
      <c r="C30" s="1" t="s">
        <v>12</v>
      </c>
      <c r="D30" s="1" t="s">
        <v>17</v>
      </c>
      <c r="E30" s="1" t="s">
        <v>20</v>
      </c>
      <c r="F30" s="1">
        <v>92</v>
      </c>
      <c r="G30" s="1">
        <v>25.49</v>
      </c>
      <c r="H30" s="1">
        <v>2345.08</v>
      </c>
      <c r="I30" s="1">
        <v>1503.3</v>
      </c>
      <c r="J30" s="1">
        <v>841.78</v>
      </c>
      <c r="K30" s="8" t="str">
        <f t="shared" si="0"/>
        <v>Dec</v>
      </c>
    </row>
    <row r="31" spans="1:11">
      <c r="A31" s="1" t="s">
        <v>55</v>
      </c>
      <c r="B31" s="2">
        <v>46011</v>
      </c>
      <c r="C31" s="1" t="s">
        <v>31</v>
      </c>
      <c r="D31" s="1" t="s">
        <v>29</v>
      </c>
      <c r="E31" s="1" t="s">
        <v>26</v>
      </c>
      <c r="F31" s="1">
        <v>288</v>
      </c>
      <c r="G31" s="1">
        <v>37.42</v>
      </c>
      <c r="H31" s="1">
        <v>10776.96</v>
      </c>
      <c r="I31" s="1">
        <v>8100.27</v>
      </c>
      <c r="J31" s="1">
        <v>2676.69</v>
      </c>
      <c r="K31" s="8" t="str">
        <f t="shared" si="0"/>
        <v>Dec</v>
      </c>
    </row>
    <row r="32" spans="1:11">
      <c r="A32" s="1" t="s">
        <v>56</v>
      </c>
      <c r="B32" s="2">
        <v>46014</v>
      </c>
      <c r="C32" s="1" t="s">
        <v>31</v>
      </c>
      <c r="D32" s="1" t="s">
        <v>13</v>
      </c>
      <c r="E32" s="1" t="s">
        <v>23</v>
      </c>
      <c r="F32" s="1">
        <v>143</v>
      </c>
      <c r="G32" s="1">
        <v>25.55</v>
      </c>
      <c r="H32" s="1">
        <v>3653.65</v>
      </c>
      <c r="I32" s="1">
        <v>2855.88</v>
      </c>
      <c r="J32" s="1">
        <v>797.77</v>
      </c>
      <c r="K32" s="8" t="str">
        <f t="shared" si="0"/>
        <v>Dec</v>
      </c>
    </row>
    <row r="33" spans="1:11">
      <c r="A33" s="1" t="s">
        <v>57</v>
      </c>
      <c r="B33" s="2">
        <v>45935</v>
      </c>
      <c r="C33" s="1" t="s">
        <v>22</v>
      </c>
      <c r="D33" s="1" t="s">
        <v>13</v>
      </c>
      <c r="E33" s="1" t="s">
        <v>18</v>
      </c>
      <c r="F33" s="1">
        <v>267</v>
      </c>
      <c r="G33" s="1">
        <v>19.89</v>
      </c>
      <c r="H33" s="1">
        <v>5310.63</v>
      </c>
      <c r="I33" s="1">
        <v>3423.28</v>
      </c>
      <c r="J33" s="1">
        <v>1887.35</v>
      </c>
      <c r="K33" s="8" t="str">
        <f t="shared" si="0"/>
        <v>Oct</v>
      </c>
    </row>
    <row r="34" spans="1:11">
      <c r="A34" s="1" t="s">
        <v>58</v>
      </c>
      <c r="B34" s="2">
        <v>45774</v>
      </c>
      <c r="C34" s="1" t="s">
        <v>16</v>
      </c>
      <c r="D34" s="1" t="s">
        <v>13</v>
      </c>
      <c r="E34" s="1" t="s">
        <v>14</v>
      </c>
      <c r="F34" s="1">
        <v>112</v>
      </c>
      <c r="G34" s="1">
        <v>25.53</v>
      </c>
      <c r="H34" s="1">
        <v>2859.36</v>
      </c>
      <c r="I34" s="1">
        <v>1918.95</v>
      </c>
      <c r="J34" s="1">
        <v>940.41</v>
      </c>
      <c r="K34" s="8" t="str">
        <f t="shared" si="0"/>
        <v>Apr</v>
      </c>
    </row>
    <row r="35" spans="1:11">
      <c r="A35" s="1" t="s">
        <v>59</v>
      </c>
      <c r="B35" s="2">
        <v>45899</v>
      </c>
      <c r="C35" s="1" t="s">
        <v>31</v>
      </c>
      <c r="D35" s="1" t="s">
        <v>17</v>
      </c>
      <c r="E35" s="1" t="s">
        <v>33</v>
      </c>
      <c r="F35" s="1">
        <v>142</v>
      </c>
      <c r="G35" s="1">
        <v>15.81</v>
      </c>
      <c r="H35" s="1">
        <v>2245.02</v>
      </c>
      <c r="I35" s="1">
        <v>1618.72</v>
      </c>
      <c r="J35" s="1">
        <v>626.29999999999995</v>
      </c>
      <c r="K35" s="8" t="str">
        <f t="shared" si="0"/>
        <v>Aug</v>
      </c>
    </row>
    <row r="36" spans="1:11">
      <c r="A36" s="1" t="s">
        <v>60</v>
      </c>
      <c r="B36" s="2">
        <v>45836</v>
      </c>
      <c r="C36" s="1" t="s">
        <v>28</v>
      </c>
      <c r="D36" s="1" t="s">
        <v>13</v>
      </c>
      <c r="E36" s="1" t="s">
        <v>14</v>
      </c>
      <c r="F36" s="1">
        <v>196</v>
      </c>
      <c r="G36" s="1">
        <v>12.42</v>
      </c>
      <c r="H36" s="1">
        <v>2434.3200000000002</v>
      </c>
      <c r="I36" s="1">
        <v>1510.33</v>
      </c>
      <c r="J36" s="1">
        <v>923.99</v>
      </c>
      <c r="K36" s="8" t="str">
        <f t="shared" si="0"/>
        <v>Jun</v>
      </c>
    </row>
    <row r="37" spans="1:11">
      <c r="A37" s="1" t="s">
        <v>61</v>
      </c>
      <c r="B37" s="2">
        <v>45762</v>
      </c>
      <c r="C37" s="1" t="s">
        <v>16</v>
      </c>
      <c r="D37" s="1" t="s">
        <v>17</v>
      </c>
      <c r="E37" s="1" t="s">
        <v>33</v>
      </c>
      <c r="F37" s="1">
        <v>257</v>
      </c>
      <c r="G37" s="1">
        <v>28.72</v>
      </c>
      <c r="H37" s="1">
        <v>7381.04</v>
      </c>
      <c r="I37" s="1">
        <v>5757.67</v>
      </c>
      <c r="J37" s="1">
        <v>1623.37</v>
      </c>
      <c r="K37" s="8" t="str">
        <f t="shared" si="0"/>
        <v>Apr</v>
      </c>
    </row>
    <row r="38" spans="1:11">
      <c r="A38" s="1" t="s">
        <v>62</v>
      </c>
      <c r="B38" s="2">
        <v>45834</v>
      </c>
      <c r="C38" s="1" t="s">
        <v>28</v>
      </c>
      <c r="D38" s="1" t="s">
        <v>29</v>
      </c>
      <c r="E38" s="1" t="s">
        <v>20</v>
      </c>
      <c r="F38" s="1">
        <v>53</v>
      </c>
      <c r="G38" s="1">
        <v>35.04</v>
      </c>
      <c r="H38" s="1">
        <v>1857.12</v>
      </c>
      <c r="I38" s="1">
        <v>1158.81</v>
      </c>
      <c r="J38" s="1">
        <v>698.31</v>
      </c>
      <c r="K38" s="8" t="str">
        <f t="shared" si="0"/>
        <v>Jun</v>
      </c>
    </row>
    <row r="39" spans="1:11">
      <c r="A39" s="1" t="s">
        <v>63</v>
      </c>
      <c r="B39" s="2">
        <v>45902</v>
      </c>
      <c r="C39" s="1" t="s">
        <v>16</v>
      </c>
      <c r="D39" s="1" t="s">
        <v>29</v>
      </c>
      <c r="E39" s="1" t="s">
        <v>18</v>
      </c>
      <c r="F39" s="1">
        <v>101</v>
      </c>
      <c r="G39" s="1">
        <v>23.02</v>
      </c>
      <c r="H39" s="1">
        <v>2325.02</v>
      </c>
      <c r="I39" s="1">
        <v>1690.68</v>
      </c>
      <c r="J39" s="1">
        <v>634.34</v>
      </c>
      <c r="K39" s="8" t="str">
        <f t="shared" si="0"/>
        <v>Sep</v>
      </c>
    </row>
    <row r="40" spans="1:11">
      <c r="A40" s="1" t="s">
        <v>64</v>
      </c>
      <c r="B40" s="2">
        <v>45895</v>
      </c>
      <c r="C40" s="1" t="s">
        <v>22</v>
      </c>
      <c r="D40" s="1" t="s">
        <v>13</v>
      </c>
      <c r="E40" s="1" t="s">
        <v>20</v>
      </c>
      <c r="F40" s="1">
        <v>215</v>
      </c>
      <c r="G40" s="1">
        <v>32.299999999999997</v>
      </c>
      <c r="H40" s="1">
        <v>6944.5</v>
      </c>
      <c r="I40" s="1">
        <v>4284.6400000000003</v>
      </c>
      <c r="J40" s="1">
        <v>2659.86</v>
      </c>
      <c r="K40" s="8" t="str">
        <f t="shared" si="0"/>
        <v>Aug</v>
      </c>
    </row>
    <row r="41" spans="1:11">
      <c r="A41" s="1" t="s">
        <v>65</v>
      </c>
      <c r="B41" s="2">
        <v>45672</v>
      </c>
      <c r="C41" s="1" t="s">
        <v>36</v>
      </c>
      <c r="D41" s="1" t="s">
        <v>13</v>
      </c>
      <c r="E41" s="1" t="s">
        <v>23</v>
      </c>
      <c r="F41" s="1">
        <v>87</v>
      </c>
      <c r="G41" s="1">
        <v>27.72</v>
      </c>
      <c r="H41" s="1">
        <v>2411.64</v>
      </c>
      <c r="I41" s="1">
        <v>1671.44</v>
      </c>
      <c r="J41" s="1">
        <v>740.2</v>
      </c>
      <c r="K41" s="8" t="str">
        <f t="shared" si="0"/>
        <v>Jan</v>
      </c>
    </row>
    <row r="42" spans="1:11">
      <c r="A42" s="1" t="s">
        <v>66</v>
      </c>
      <c r="B42" s="2">
        <v>45963</v>
      </c>
      <c r="C42" s="1" t="s">
        <v>12</v>
      </c>
      <c r="D42" s="1" t="s">
        <v>29</v>
      </c>
      <c r="E42" s="1" t="s">
        <v>20</v>
      </c>
      <c r="F42" s="1">
        <v>252</v>
      </c>
      <c r="G42" s="1">
        <v>29.72</v>
      </c>
      <c r="H42" s="1">
        <v>7489.44</v>
      </c>
      <c r="I42" s="1">
        <v>5018.54</v>
      </c>
      <c r="J42" s="1">
        <v>2470.9</v>
      </c>
      <c r="K42" s="8" t="str">
        <f t="shared" si="0"/>
        <v>Nov</v>
      </c>
    </row>
    <row r="43" spans="1:11">
      <c r="A43" s="1" t="s">
        <v>67</v>
      </c>
      <c r="B43" s="2">
        <v>45668</v>
      </c>
      <c r="C43" s="1" t="s">
        <v>16</v>
      </c>
      <c r="D43" s="1" t="s">
        <v>29</v>
      </c>
      <c r="E43" s="1" t="s">
        <v>33</v>
      </c>
      <c r="F43" s="1">
        <v>17</v>
      </c>
      <c r="G43" s="1">
        <v>33.979999999999997</v>
      </c>
      <c r="H43" s="1">
        <v>577.66</v>
      </c>
      <c r="I43" s="1">
        <v>430.51</v>
      </c>
      <c r="J43" s="1">
        <v>147.15</v>
      </c>
      <c r="K43" s="8" t="str">
        <f t="shared" si="0"/>
        <v>Jan</v>
      </c>
    </row>
    <row r="44" spans="1:11">
      <c r="A44" s="1" t="s">
        <v>68</v>
      </c>
      <c r="B44" s="2">
        <v>45729</v>
      </c>
      <c r="C44" s="1" t="s">
        <v>22</v>
      </c>
      <c r="D44" s="1" t="s">
        <v>13</v>
      </c>
      <c r="E44" s="1" t="s">
        <v>14</v>
      </c>
      <c r="F44" s="1">
        <v>232</v>
      </c>
      <c r="G44" s="1">
        <v>39.6</v>
      </c>
      <c r="H44" s="1">
        <v>9187.2000000000007</v>
      </c>
      <c r="I44" s="1">
        <v>5870.26</v>
      </c>
      <c r="J44" s="1">
        <v>3316.94</v>
      </c>
      <c r="K44" s="8" t="str">
        <f t="shared" si="0"/>
        <v>Mar</v>
      </c>
    </row>
    <row r="45" spans="1:11">
      <c r="A45" s="1" t="s">
        <v>69</v>
      </c>
      <c r="B45" s="2">
        <v>45766</v>
      </c>
      <c r="C45" s="1" t="s">
        <v>31</v>
      </c>
      <c r="D45" s="1" t="s">
        <v>17</v>
      </c>
      <c r="E45" s="1" t="s">
        <v>23</v>
      </c>
      <c r="F45" s="1">
        <v>159</v>
      </c>
      <c r="G45" s="1">
        <v>25.03</v>
      </c>
      <c r="H45" s="1">
        <v>3979.77</v>
      </c>
      <c r="I45" s="1">
        <v>2995.72</v>
      </c>
      <c r="J45" s="1">
        <v>984.05</v>
      </c>
      <c r="K45" s="8" t="str">
        <f t="shared" si="0"/>
        <v>Apr</v>
      </c>
    </row>
    <row r="46" spans="1:11">
      <c r="A46" s="1" t="s">
        <v>70</v>
      </c>
      <c r="B46" s="2">
        <v>45872</v>
      </c>
      <c r="C46" s="1" t="s">
        <v>28</v>
      </c>
      <c r="D46" s="1" t="s">
        <v>29</v>
      </c>
      <c r="E46" s="1" t="s">
        <v>23</v>
      </c>
      <c r="F46" s="1">
        <v>77</v>
      </c>
      <c r="G46" s="1">
        <v>11.83</v>
      </c>
      <c r="H46" s="1">
        <v>910.91</v>
      </c>
      <c r="I46" s="1">
        <v>681.35</v>
      </c>
      <c r="J46" s="1">
        <v>229.56</v>
      </c>
      <c r="K46" s="8" t="str">
        <f t="shared" si="0"/>
        <v>Aug</v>
      </c>
    </row>
    <row r="47" spans="1:11">
      <c r="A47" s="1" t="s">
        <v>71</v>
      </c>
      <c r="B47" s="2">
        <v>45922</v>
      </c>
      <c r="C47" s="1" t="s">
        <v>22</v>
      </c>
      <c r="D47" s="1" t="s">
        <v>29</v>
      </c>
      <c r="E47" s="1" t="s">
        <v>20</v>
      </c>
      <c r="F47" s="1">
        <v>225</v>
      </c>
      <c r="G47" s="1">
        <v>34.81</v>
      </c>
      <c r="H47" s="1">
        <v>7832.25</v>
      </c>
      <c r="I47" s="1">
        <v>6074.96</v>
      </c>
      <c r="J47" s="1">
        <v>1757.29</v>
      </c>
      <c r="K47" s="8" t="str">
        <f t="shared" si="0"/>
        <v>Sep</v>
      </c>
    </row>
    <row r="48" spans="1:11">
      <c r="A48" s="1" t="s">
        <v>72</v>
      </c>
      <c r="B48" s="2">
        <v>45926</v>
      </c>
      <c r="C48" s="1" t="s">
        <v>22</v>
      </c>
      <c r="D48" s="1" t="s">
        <v>29</v>
      </c>
      <c r="E48" s="1" t="s">
        <v>26</v>
      </c>
      <c r="F48" s="1">
        <v>271</v>
      </c>
      <c r="G48" s="1">
        <v>10.56</v>
      </c>
      <c r="H48" s="1">
        <v>2861.76</v>
      </c>
      <c r="I48" s="1">
        <v>1968.96</v>
      </c>
      <c r="J48" s="1">
        <v>892.8</v>
      </c>
      <c r="K48" s="8" t="str">
        <f t="shared" si="0"/>
        <v>Sep</v>
      </c>
    </row>
    <row r="49" spans="1:11">
      <c r="A49" s="1" t="s">
        <v>73</v>
      </c>
      <c r="B49" s="2">
        <v>45734</v>
      </c>
      <c r="C49" s="1" t="s">
        <v>16</v>
      </c>
      <c r="D49" s="1" t="s">
        <v>29</v>
      </c>
      <c r="E49" s="1" t="s">
        <v>26</v>
      </c>
      <c r="F49" s="1">
        <v>98</v>
      </c>
      <c r="G49" s="1">
        <v>14.25</v>
      </c>
      <c r="H49" s="1">
        <v>1396.5</v>
      </c>
      <c r="I49" s="1">
        <v>1010.81</v>
      </c>
      <c r="J49" s="1">
        <v>385.69</v>
      </c>
      <c r="K49" s="8" t="str">
        <f t="shared" si="0"/>
        <v>Mar</v>
      </c>
    </row>
    <row r="50" spans="1:11">
      <c r="A50" s="1" t="s">
        <v>74</v>
      </c>
      <c r="B50" s="2">
        <v>45824</v>
      </c>
      <c r="C50" s="1" t="s">
        <v>16</v>
      </c>
      <c r="D50" s="1" t="s">
        <v>29</v>
      </c>
      <c r="E50" s="1" t="s">
        <v>26</v>
      </c>
      <c r="F50" s="1">
        <v>275</v>
      </c>
      <c r="G50" s="1">
        <v>25.92</v>
      </c>
      <c r="H50" s="1">
        <v>7128</v>
      </c>
      <c r="I50" s="1">
        <v>4964.63</v>
      </c>
      <c r="J50" s="1">
        <v>2163.37</v>
      </c>
      <c r="K50" s="8" t="str">
        <f t="shared" si="0"/>
        <v>Jun</v>
      </c>
    </row>
    <row r="51" spans="1:11">
      <c r="A51" s="1" t="s">
        <v>75</v>
      </c>
      <c r="B51" s="2">
        <v>45785</v>
      </c>
      <c r="C51" s="1" t="s">
        <v>12</v>
      </c>
      <c r="D51" s="1" t="s">
        <v>17</v>
      </c>
      <c r="E51" s="1" t="s">
        <v>23</v>
      </c>
      <c r="F51" s="1">
        <v>107</v>
      </c>
      <c r="G51" s="1">
        <v>18.309999999999999</v>
      </c>
      <c r="H51" s="1">
        <v>1959.17</v>
      </c>
      <c r="I51" s="1">
        <v>1478.1</v>
      </c>
      <c r="J51" s="1">
        <v>481.07</v>
      </c>
      <c r="K51" s="8" t="str">
        <f t="shared" si="0"/>
        <v>May</v>
      </c>
    </row>
    <row r="52" spans="1:11">
      <c r="A52" s="1" t="s">
        <v>76</v>
      </c>
      <c r="B52" s="2">
        <v>45672</v>
      </c>
      <c r="C52" s="1" t="s">
        <v>12</v>
      </c>
      <c r="D52" s="1" t="s">
        <v>29</v>
      </c>
      <c r="E52" s="1" t="s">
        <v>23</v>
      </c>
      <c r="F52" s="1">
        <v>42</v>
      </c>
      <c r="G52" s="1">
        <v>23.3</v>
      </c>
      <c r="H52" s="1">
        <v>978.6</v>
      </c>
      <c r="I52" s="1">
        <v>707.04</v>
      </c>
      <c r="J52" s="1">
        <v>271.56</v>
      </c>
      <c r="K52" s="8" t="str">
        <f t="shared" si="0"/>
        <v>Jan</v>
      </c>
    </row>
    <row r="53" spans="1:11">
      <c r="A53" s="1" t="s">
        <v>77</v>
      </c>
      <c r="B53" s="2">
        <v>45760</v>
      </c>
      <c r="C53" s="1" t="s">
        <v>28</v>
      </c>
      <c r="D53" s="1" t="s">
        <v>29</v>
      </c>
      <c r="E53" s="1" t="s">
        <v>20</v>
      </c>
      <c r="F53" s="1">
        <v>151</v>
      </c>
      <c r="G53" s="1">
        <v>23.57</v>
      </c>
      <c r="H53" s="1">
        <v>3559.07</v>
      </c>
      <c r="I53" s="1">
        <v>2515.04</v>
      </c>
      <c r="J53" s="1">
        <v>1044.03</v>
      </c>
      <c r="K53" s="8" t="str">
        <f t="shared" si="0"/>
        <v>Apr</v>
      </c>
    </row>
    <row r="54" spans="1:11">
      <c r="A54" s="1" t="s">
        <v>78</v>
      </c>
      <c r="B54" s="2">
        <v>46015</v>
      </c>
      <c r="C54" s="1" t="s">
        <v>31</v>
      </c>
      <c r="D54" s="1" t="s">
        <v>29</v>
      </c>
      <c r="E54" s="1" t="s">
        <v>20</v>
      </c>
      <c r="F54" s="1">
        <v>277</v>
      </c>
      <c r="G54" s="1">
        <v>36.299999999999997</v>
      </c>
      <c r="H54" s="1">
        <v>10055.1</v>
      </c>
      <c r="I54" s="1">
        <v>7927.8</v>
      </c>
      <c r="J54" s="1">
        <v>2127.3000000000002</v>
      </c>
      <c r="K54" s="8" t="str">
        <f t="shared" si="0"/>
        <v>Dec</v>
      </c>
    </row>
    <row r="55" spans="1:11">
      <c r="A55" s="1" t="s">
        <v>79</v>
      </c>
      <c r="B55" s="2">
        <v>45887</v>
      </c>
      <c r="C55" s="1" t="s">
        <v>31</v>
      </c>
      <c r="D55" s="1" t="s">
        <v>13</v>
      </c>
      <c r="E55" s="1" t="s">
        <v>33</v>
      </c>
      <c r="F55" s="1">
        <v>80</v>
      </c>
      <c r="G55" s="1">
        <v>22.5</v>
      </c>
      <c r="H55" s="1">
        <v>1800</v>
      </c>
      <c r="I55" s="1">
        <v>1221.25</v>
      </c>
      <c r="J55" s="1">
        <v>578.75</v>
      </c>
      <c r="K55" s="8" t="str">
        <f t="shared" si="0"/>
        <v>Aug</v>
      </c>
    </row>
    <row r="56" spans="1:11">
      <c r="A56" s="1" t="s">
        <v>80</v>
      </c>
      <c r="B56" s="2">
        <v>45781</v>
      </c>
      <c r="C56" s="1" t="s">
        <v>16</v>
      </c>
      <c r="D56" s="1" t="s">
        <v>13</v>
      </c>
      <c r="E56" s="1" t="s">
        <v>33</v>
      </c>
      <c r="F56" s="1">
        <v>229</v>
      </c>
      <c r="G56" s="1">
        <v>12.19</v>
      </c>
      <c r="H56" s="1">
        <v>2791.51</v>
      </c>
      <c r="I56" s="1">
        <v>2048.67</v>
      </c>
      <c r="J56" s="1">
        <v>742.84</v>
      </c>
      <c r="K56" s="8" t="str">
        <f t="shared" si="0"/>
        <v>May</v>
      </c>
    </row>
    <row r="57" spans="1:11">
      <c r="A57" s="1" t="s">
        <v>81</v>
      </c>
      <c r="B57" s="2">
        <v>45987</v>
      </c>
      <c r="C57" s="1" t="s">
        <v>28</v>
      </c>
      <c r="D57" s="1" t="s">
        <v>13</v>
      </c>
      <c r="E57" s="1" t="s">
        <v>33</v>
      </c>
      <c r="F57" s="1">
        <v>197</v>
      </c>
      <c r="G57" s="1">
        <v>14.29</v>
      </c>
      <c r="H57" s="1">
        <v>2815.13</v>
      </c>
      <c r="I57" s="1">
        <v>2186.14</v>
      </c>
      <c r="J57" s="1">
        <v>628.99</v>
      </c>
      <c r="K57" s="8" t="str">
        <f t="shared" si="0"/>
        <v>Nov</v>
      </c>
    </row>
    <row r="58" spans="1:11">
      <c r="A58" s="1" t="s">
        <v>82</v>
      </c>
      <c r="B58" s="2">
        <v>45706</v>
      </c>
      <c r="C58" s="1" t="s">
        <v>36</v>
      </c>
      <c r="D58" s="1" t="s">
        <v>13</v>
      </c>
      <c r="E58" s="1" t="s">
        <v>20</v>
      </c>
      <c r="F58" s="1">
        <v>213</v>
      </c>
      <c r="G58" s="1">
        <v>36.549999999999997</v>
      </c>
      <c r="H58" s="1">
        <v>7785.15</v>
      </c>
      <c r="I58" s="1">
        <v>4924.57</v>
      </c>
      <c r="J58" s="1">
        <v>2860.58</v>
      </c>
      <c r="K58" s="8" t="str">
        <f t="shared" si="0"/>
        <v>Feb</v>
      </c>
    </row>
    <row r="59" spans="1:11">
      <c r="A59" s="1" t="s">
        <v>83</v>
      </c>
      <c r="B59" s="2">
        <v>46019</v>
      </c>
      <c r="C59" s="1" t="s">
        <v>28</v>
      </c>
      <c r="D59" s="1" t="s">
        <v>13</v>
      </c>
      <c r="E59" s="1" t="s">
        <v>14</v>
      </c>
      <c r="F59" s="1">
        <v>230</v>
      </c>
      <c r="G59" s="1">
        <v>39.82</v>
      </c>
      <c r="H59" s="1">
        <v>9158.6</v>
      </c>
      <c r="I59" s="1">
        <v>6234.83</v>
      </c>
      <c r="J59" s="1">
        <v>2923.77</v>
      </c>
      <c r="K59" s="8" t="str">
        <f t="shared" si="0"/>
        <v>Dec</v>
      </c>
    </row>
    <row r="60" spans="1:11">
      <c r="A60" s="1" t="s">
        <v>84</v>
      </c>
      <c r="B60" s="2">
        <v>45821</v>
      </c>
      <c r="C60" s="1" t="s">
        <v>12</v>
      </c>
      <c r="D60" s="1" t="s">
        <v>17</v>
      </c>
      <c r="E60" s="1" t="s">
        <v>18</v>
      </c>
      <c r="F60" s="1">
        <v>57</v>
      </c>
      <c r="G60" s="1">
        <v>31.66</v>
      </c>
      <c r="H60" s="1">
        <v>1804.62</v>
      </c>
      <c r="I60" s="1">
        <v>1089.8</v>
      </c>
      <c r="J60" s="1">
        <v>714.82</v>
      </c>
      <c r="K60" s="8" t="str">
        <f t="shared" si="0"/>
        <v>Jun</v>
      </c>
    </row>
    <row r="61" spans="1:11">
      <c r="A61" s="1" t="s">
        <v>85</v>
      </c>
      <c r="B61" s="2">
        <v>46018</v>
      </c>
      <c r="C61" s="1" t="s">
        <v>31</v>
      </c>
      <c r="D61" s="1" t="s">
        <v>29</v>
      </c>
      <c r="E61" s="1" t="s">
        <v>26</v>
      </c>
      <c r="F61" s="1">
        <v>19</v>
      </c>
      <c r="G61" s="1">
        <v>21.53</v>
      </c>
      <c r="H61" s="1">
        <v>409.07</v>
      </c>
      <c r="I61" s="1">
        <v>287.77999999999997</v>
      </c>
      <c r="J61" s="1">
        <v>121.29</v>
      </c>
      <c r="K61" s="8" t="str">
        <f t="shared" si="0"/>
        <v>Dec</v>
      </c>
    </row>
    <row r="62" spans="1:11">
      <c r="A62" s="1" t="s">
        <v>86</v>
      </c>
      <c r="B62" s="2">
        <v>45715</v>
      </c>
      <c r="C62" s="1" t="s">
        <v>31</v>
      </c>
      <c r="D62" s="1" t="s">
        <v>17</v>
      </c>
      <c r="E62" s="1" t="s">
        <v>26</v>
      </c>
      <c r="F62" s="1">
        <v>127</v>
      </c>
      <c r="G62" s="1">
        <v>39.15</v>
      </c>
      <c r="H62" s="1">
        <v>4972.05</v>
      </c>
      <c r="I62" s="1">
        <v>3087.42</v>
      </c>
      <c r="J62" s="1">
        <v>1884.63</v>
      </c>
      <c r="K62" s="8" t="str">
        <f t="shared" si="0"/>
        <v>Feb</v>
      </c>
    </row>
    <row r="63" spans="1:11">
      <c r="A63" s="1" t="s">
        <v>87</v>
      </c>
      <c r="B63" s="2">
        <v>45750</v>
      </c>
      <c r="C63" s="1" t="s">
        <v>36</v>
      </c>
      <c r="D63" s="1" t="s">
        <v>17</v>
      </c>
      <c r="E63" s="1" t="s">
        <v>18</v>
      </c>
      <c r="F63" s="1">
        <v>148</v>
      </c>
      <c r="G63" s="1">
        <v>32.67</v>
      </c>
      <c r="H63" s="1">
        <v>4835.16</v>
      </c>
      <c r="I63" s="1">
        <v>3693.85</v>
      </c>
      <c r="J63" s="1">
        <v>1141.31</v>
      </c>
      <c r="K63" s="8" t="str">
        <f t="shared" si="0"/>
        <v>Apr</v>
      </c>
    </row>
    <row r="64" spans="1:11">
      <c r="A64" s="1" t="s">
        <v>88</v>
      </c>
      <c r="B64" s="2">
        <v>45734</v>
      </c>
      <c r="C64" s="1" t="s">
        <v>36</v>
      </c>
      <c r="D64" s="1" t="s">
        <v>17</v>
      </c>
      <c r="E64" s="1" t="s">
        <v>26</v>
      </c>
      <c r="F64" s="1">
        <v>284</v>
      </c>
      <c r="G64" s="1">
        <v>37.58</v>
      </c>
      <c r="H64" s="1">
        <v>10672.72</v>
      </c>
      <c r="I64" s="1">
        <v>7621.59</v>
      </c>
      <c r="J64" s="1">
        <v>3051.13</v>
      </c>
      <c r="K64" s="8" t="str">
        <f t="shared" si="0"/>
        <v>Mar</v>
      </c>
    </row>
    <row r="65" spans="1:11">
      <c r="A65" s="1" t="s">
        <v>89</v>
      </c>
      <c r="B65" s="2">
        <v>45800</v>
      </c>
      <c r="C65" s="1" t="s">
        <v>16</v>
      </c>
      <c r="D65" s="1" t="s">
        <v>17</v>
      </c>
      <c r="E65" s="1" t="s">
        <v>26</v>
      </c>
      <c r="F65" s="1">
        <v>39</v>
      </c>
      <c r="G65" s="1">
        <v>33.99</v>
      </c>
      <c r="H65" s="1">
        <v>1325.61</v>
      </c>
      <c r="I65" s="1">
        <v>843.97</v>
      </c>
      <c r="J65" s="1">
        <v>481.64</v>
      </c>
      <c r="K65" s="8" t="str">
        <f t="shared" si="0"/>
        <v>May</v>
      </c>
    </row>
    <row r="66" spans="1:11">
      <c r="A66" s="1" t="s">
        <v>90</v>
      </c>
      <c r="B66" s="2">
        <v>45982</v>
      </c>
      <c r="C66" s="1" t="s">
        <v>22</v>
      </c>
      <c r="D66" s="1" t="s">
        <v>13</v>
      </c>
      <c r="E66" s="1" t="s">
        <v>14</v>
      </c>
      <c r="F66" s="1">
        <v>55</v>
      </c>
      <c r="G66" s="1">
        <v>34.049999999999997</v>
      </c>
      <c r="H66" s="1">
        <v>1872.75</v>
      </c>
      <c r="I66" s="1">
        <v>1155.02</v>
      </c>
      <c r="J66" s="1">
        <v>717.73</v>
      </c>
      <c r="K66" s="8" t="str">
        <f t="shared" ref="K66:K129" si="1">TEXT(B66,"mmm")</f>
        <v>Nov</v>
      </c>
    </row>
    <row r="67" spans="1:11">
      <c r="A67" s="1" t="s">
        <v>91</v>
      </c>
      <c r="B67" s="2">
        <v>45720</v>
      </c>
      <c r="C67" s="1" t="s">
        <v>28</v>
      </c>
      <c r="D67" s="1" t="s">
        <v>17</v>
      </c>
      <c r="E67" s="1" t="s">
        <v>23</v>
      </c>
      <c r="F67" s="1">
        <v>242</v>
      </c>
      <c r="G67" s="1">
        <v>10.35</v>
      </c>
      <c r="H67" s="1">
        <v>2504.6999999999998</v>
      </c>
      <c r="I67" s="1">
        <v>2000.91</v>
      </c>
      <c r="J67" s="1">
        <v>503.79</v>
      </c>
      <c r="K67" s="8" t="str">
        <f t="shared" si="1"/>
        <v>Mar</v>
      </c>
    </row>
    <row r="68" spans="1:11">
      <c r="A68" s="1" t="s">
        <v>92</v>
      </c>
      <c r="B68" s="2">
        <v>45724</v>
      </c>
      <c r="C68" s="1" t="s">
        <v>16</v>
      </c>
      <c r="D68" s="1" t="s">
        <v>13</v>
      </c>
      <c r="E68" s="1" t="s">
        <v>14</v>
      </c>
      <c r="F68" s="1">
        <v>32</v>
      </c>
      <c r="G68" s="1">
        <v>25.81</v>
      </c>
      <c r="H68" s="1">
        <v>825.92</v>
      </c>
      <c r="I68" s="1">
        <v>534.94000000000005</v>
      </c>
      <c r="J68" s="1">
        <v>290.98</v>
      </c>
      <c r="K68" s="8" t="str">
        <f t="shared" si="1"/>
        <v>Mar</v>
      </c>
    </row>
    <row r="69" spans="1:11">
      <c r="A69" s="1" t="s">
        <v>93</v>
      </c>
      <c r="B69" s="2">
        <v>45683</v>
      </c>
      <c r="C69" s="1" t="s">
        <v>31</v>
      </c>
      <c r="D69" s="1" t="s">
        <v>29</v>
      </c>
      <c r="E69" s="1" t="s">
        <v>20</v>
      </c>
      <c r="F69" s="1">
        <v>102</v>
      </c>
      <c r="G69" s="1">
        <v>16.05</v>
      </c>
      <c r="H69" s="1">
        <v>1637.1</v>
      </c>
      <c r="I69" s="1">
        <v>1084.4100000000001</v>
      </c>
      <c r="J69" s="1">
        <v>552.69000000000005</v>
      </c>
      <c r="K69" s="8" t="str">
        <f t="shared" si="1"/>
        <v>Jan</v>
      </c>
    </row>
    <row r="70" spans="1:11">
      <c r="A70" s="1" t="s">
        <v>94</v>
      </c>
      <c r="B70" s="2">
        <v>45806</v>
      </c>
      <c r="C70" s="1" t="s">
        <v>31</v>
      </c>
      <c r="D70" s="1" t="s">
        <v>13</v>
      </c>
      <c r="E70" s="1" t="s">
        <v>14</v>
      </c>
      <c r="F70" s="1">
        <v>238</v>
      </c>
      <c r="G70" s="1">
        <v>25</v>
      </c>
      <c r="H70" s="1">
        <v>5950</v>
      </c>
      <c r="I70" s="1">
        <v>3781.7</v>
      </c>
      <c r="J70" s="1">
        <v>2168.3000000000002</v>
      </c>
      <c r="K70" s="8" t="str">
        <f t="shared" si="1"/>
        <v>May</v>
      </c>
    </row>
    <row r="71" spans="1:11">
      <c r="A71" s="1" t="s">
        <v>95</v>
      </c>
      <c r="B71" s="2">
        <v>45676</v>
      </c>
      <c r="C71" s="1" t="s">
        <v>22</v>
      </c>
      <c r="D71" s="1" t="s">
        <v>29</v>
      </c>
      <c r="E71" s="1" t="s">
        <v>18</v>
      </c>
      <c r="F71" s="1">
        <v>17</v>
      </c>
      <c r="G71" s="1">
        <v>10.55</v>
      </c>
      <c r="H71" s="1">
        <v>179.35</v>
      </c>
      <c r="I71" s="1">
        <v>125.75</v>
      </c>
      <c r="J71" s="1">
        <v>53.6</v>
      </c>
      <c r="K71" s="8" t="str">
        <f t="shared" si="1"/>
        <v>Jan</v>
      </c>
    </row>
    <row r="72" spans="1:11">
      <c r="A72" s="1" t="s">
        <v>96</v>
      </c>
      <c r="B72" s="2">
        <v>45783</v>
      </c>
      <c r="C72" s="1" t="s">
        <v>28</v>
      </c>
      <c r="D72" s="1" t="s">
        <v>29</v>
      </c>
      <c r="E72" s="1" t="s">
        <v>18</v>
      </c>
      <c r="F72" s="1">
        <v>238</v>
      </c>
      <c r="G72" s="1">
        <v>13.19</v>
      </c>
      <c r="H72" s="1">
        <v>3139.22</v>
      </c>
      <c r="I72" s="1">
        <v>2397.69</v>
      </c>
      <c r="J72" s="1">
        <v>741.53</v>
      </c>
      <c r="K72" s="8" t="str">
        <f t="shared" si="1"/>
        <v>May</v>
      </c>
    </row>
    <row r="73" spans="1:11">
      <c r="A73" s="1" t="s">
        <v>97</v>
      </c>
      <c r="B73" s="2">
        <v>45937</v>
      </c>
      <c r="C73" s="1" t="s">
        <v>22</v>
      </c>
      <c r="D73" s="1" t="s">
        <v>13</v>
      </c>
      <c r="E73" s="1" t="s">
        <v>14</v>
      </c>
      <c r="F73" s="1">
        <v>211</v>
      </c>
      <c r="G73" s="1">
        <v>39.11</v>
      </c>
      <c r="H73" s="1">
        <v>8252.2099999999991</v>
      </c>
      <c r="I73" s="1">
        <v>5459.3</v>
      </c>
      <c r="J73" s="1">
        <v>2792.91</v>
      </c>
      <c r="K73" s="8" t="str">
        <f t="shared" si="1"/>
        <v>Oct</v>
      </c>
    </row>
    <row r="74" spans="1:11">
      <c r="A74" s="1" t="s">
        <v>98</v>
      </c>
      <c r="B74" s="2">
        <v>45759</v>
      </c>
      <c r="C74" s="1" t="s">
        <v>16</v>
      </c>
      <c r="D74" s="1" t="s">
        <v>13</v>
      </c>
      <c r="E74" s="1" t="s">
        <v>26</v>
      </c>
      <c r="F74" s="1">
        <v>81</v>
      </c>
      <c r="G74" s="1">
        <v>22.14</v>
      </c>
      <c r="H74" s="1">
        <v>1793.34</v>
      </c>
      <c r="I74" s="1">
        <v>1200.6600000000001</v>
      </c>
      <c r="J74" s="1">
        <v>592.67999999999995</v>
      </c>
      <c r="K74" s="8" t="str">
        <f t="shared" si="1"/>
        <v>Apr</v>
      </c>
    </row>
    <row r="75" spans="1:11">
      <c r="A75" s="1" t="s">
        <v>99</v>
      </c>
      <c r="B75" s="2">
        <v>45694</v>
      </c>
      <c r="C75" s="1" t="s">
        <v>36</v>
      </c>
      <c r="D75" s="1" t="s">
        <v>17</v>
      </c>
      <c r="E75" s="1" t="s">
        <v>23</v>
      </c>
      <c r="F75" s="1">
        <v>140</v>
      </c>
      <c r="G75" s="1">
        <v>22.92</v>
      </c>
      <c r="H75" s="1">
        <v>3208.8</v>
      </c>
      <c r="I75" s="1">
        <v>1960.83</v>
      </c>
      <c r="J75" s="1">
        <v>1247.97</v>
      </c>
      <c r="K75" s="8" t="str">
        <f t="shared" si="1"/>
        <v>Feb</v>
      </c>
    </row>
    <row r="76" spans="1:11">
      <c r="A76" s="1" t="s">
        <v>100</v>
      </c>
      <c r="B76" s="2">
        <v>46001</v>
      </c>
      <c r="C76" s="1" t="s">
        <v>16</v>
      </c>
      <c r="D76" s="1" t="s">
        <v>17</v>
      </c>
      <c r="E76" s="1" t="s">
        <v>20</v>
      </c>
      <c r="F76" s="1">
        <v>154</v>
      </c>
      <c r="G76" s="1">
        <v>27.96</v>
      </c>
      <c r="H76" s="1">
        <v>4305.84</v>
      </c>
      <c r="I76" s="1">
        <v>3180.02</v>
      </c>
      <c r="J76" s="1">
        <v>1125.82</v>
      </c>
      <c r="K76" s="8" t="str">
        <f t="shared" si="1"/>
        <v>Dec</v>
      </c>
    </row>
    <row r="77" spans="1:11">
      <c r="A77" s="1" t="s">
        <v>101</v>
      </c>
      <c r="B77" s="2">
        <v>45738</v>
      </c>
      <c r="C77" s="1" t="s">
        <v>31</v>
      </c>
      <c r="D77" s="1" t="s">
        <v>29</v>
      </c>
      <c r="E77" s="1" t="s">
        <v>14</v>
      </c>
      <c r="F77" s="1">
        <v>147</v>
      </c>
      <c r="G77" s="1">
        <v>23.37</v>
      </c>
      <c r="H77" s="1">
        <v>3435.39</v>
      </c>
      <c r="I77" s="1">
        <v>2242.1</v>
      </c>
      <c r="J77" s="1">
        <v>1193.29</v>
      </c>
      <c r="K77" s="8" t="str">
        <f t="shared" si="1"/>
        <v>Mar</v>
      </c>
    </row>
    <row r="78" spans="1:11">
      <c r="A78" s="1" t="s">
        <v>102</v>
      </c>
      <c r="B78" s="2">
        <v>45783</v>
      </c>
      <c r="C78" s="1" t="s">
        <v>31</v>
      </c>
      <c r="D78" s="1" t="s">
        <v>13</v>
      </c>
      <c r="E78" s="1" t="s">
        <v>26</v>
      </c>
      <c r="F78" s="1">
        <v>27</v>
      </c>
      <c r="G78" s="1">
        <v>38.97</v>
      </c>
      <c r="H78" s="1">
        <v>1052.19</v>
      </c>
      <c r="I78" s="1">
        <v>696.45</v>
      </c>
      <c r="J78" s="1">
        <v>355.74</v>
      </c>
      <c r="K78" s="8" t="str">
        <f t="shared" si="1"/>
        <v>May</v>
      </c>
    </row>
    <row r="79" spans="1:11">
      <c r="A79" s="1" t="s">
        <v>103</v>
      </c>
      <c r="B79" s="2">
        <v>45829</v>
      </c>
      <c r="C79" s="1" t="s">
        <v>36</v>
      </c>
      <c r="D79" s="1" t="s">
        <v>13</v>
      </c>
      <c r="E79" s="1" t="s">
        <v>20</v>
      </c>
      <c r="F79" s="1">
        <v>205</v>
      </c>
      <c r="G79" s="1">
        <v>12.52</v>
      </c>
      <c r="H79" s="1">
        <v>2566.6</v>
      </c>
      <c r="I79" s="1">
        <v>1683.14</v>
      </c>
      <c r="J79" s="1">
        <v>883.46</v>
      </c>
      <c r="K79" s="8" t="str">
        <f t="shared" si="1"/>
        <v>Jun</v>
      </c>
    </row>
    <row r="80" spans="1:11">
      <c r="A80" s="1" t="s">
        <v>104</v>
      </c>
      <c r="B80" s="2">
        <v>45916</v>
      </c>
      <c r="C80" s="1" t="s">
        <v>22</v>
      </c>
      <c r="D80" s="1" t="s">
        <v>17</v>
      </c>
      <c r="E80" s="1" t="s">
        <v>23</v>
      </c>
      <c r="F80" s="1">
        <v>12</v>
      </c>
      <c r="G80" s="1">
        <v>12.73</v>
      </c>
      <c r="H80" s="1">
        <v>152.76</v>
      </c>
      <c r="I80" s="1">
        <v>116.62</v>
      </c>
      <c r="J80" s="1">
        <v>36.14</v>
      </c>
      <c r="K80" s="8" t="str">
        <f t="shared" si="1"/>
        <v>Sep</v>
      </c>
    </row>
    <row r="81" spans="1:11">
      <c r="A81" s="1" t="s">
        <v>105</v>
      </c>
      <c r="B81" s="2">
        <v>45679</v>
      </c>
      <c r="C81" s="1" t="s">
        <v>22</v>
      </c>
      <c r="D81" s="1" t="s">
        <v>13</v>
      </c>
      <c r="E81" s="1" t="s">
        <v>23</v>
      </c>
      <c r="F81" s="1">
        <v>211</v>
      </c>
      <c r="G81" s="1">
        <v>10.67</v>
      </c>
      <c r="H81" s="1">
        <v>2251.37</v>
      </c>
      <c r="I81" s="1">
        <v>1487.82</v>
      </c>
      <c r="J81" s="1">
        <v>763.55</v>
      </c>
      <c r="K81" s="8" t="str">
        <f t="shared" si="1"/>
        <v>Jan</v>
      </c>
    </row>
    <row r="82" spans="1:11">
      <c r="A82" s="1" t="s">
        <v>106</v>
      </c>
      <c r="B82" s="2">
        <v>45928</v>
      </c>
      <c r="C82" s="1" t="s">
        <v>12</v>
      </c>
      <c r="D82" s="1" t="s">
        <v>17</v>
      </c>
      <c r="E82" s="1" t="s">
        <v>14</v>
      </c>
      <c r="F82" s="1">
        <v>89</v>
      </c>
      <c r="G82" s="1">
        <v>29.73</v>
      </c>
      <c r="H82" s="1">
        <v>2645.97</v>
      </c>
      <c r="I82" s="1">
        <v>1966.48</v>
      </c>
      <c r="J82" s="1">
        <v>679.49</v>
      </c>
      <c r="K82" s="8" t="str">
        <f t="shared" si="1"/>
        <v>Sep</v>
      </c>
    </row>
    <row r="83" spans="1:11">
      <c r="A83" s="1" t="s">
        <v>107</v>
      </c>
      <c r="B83" s="2">
        <v>45911</v>
      </c>
      <c r="C83" s="1" t="s">
        <v>22</v>
      </c>
      <c r="D83" s="1" t="s">
        <v>13</v>
      </c>
      <c r="E83" s="1" t="s">
        <v>33</v>
      </c>
      <c r="F83" s="1">
        <v>86</v>
      </c>
      <c r="G83" s="1">
        <v>18.53</v>
      </c>
      <c r="H83" s="1">
        <v>1593.58</v>
      </c>
      <c r="I83" s="1">
        <v>1153.3399999999999</v>
      </c>
      <c r="J83" s="1">
        <v>440.24</v>
      </c>
      <c r="K83" s="8" t="str">
        <f t="shared" si="1"/>
        <v>Sep</v>
      </c>
    </row>
    <row r="84" spans="1:11">
      <c r="A84" s="1" t="s">
        <v>108</v>
      </c>
      <c r="B84" s="2">
        <v>45920</v>
      </c>
      <c r="C84" s="1" t="s">
        <v>22</v>
      </c>
      <c r="D84" s="1" t="s">
        <v>29</v>
      </c>
      <c r="E84" s="1" t="s">
        <v>23</v>
      </c>
      <c r="F84" s="1">
        <v>229</v>
      </c>
      <c r="G84" s="1">
        <v>32.020000000000003</v>
      </c>
      <c r="H84" s="1">
        <v>7332.58</v>
      </c>
      <c r="I84" s="1">
        <v>5590.68</v>
      </c>
      <c r="J84" s="1">
        <v>1741.9</v>
      </c>
      <c r="K84" s="8" t="str">
        <f t="shared" si="1"/>
        <v>Sep</v>
      </c>
    </row>
    <row r="85" spans="1:11">
      <c r="A85" s="1" t="s">
        <v>109</v>
      </c>
      <c r="B85" s="2">
        <v>45949</v>
      </c>
      <c r="C85" s="1" t="s">
        <v>36</v>
      </c>
      <c r="D85" s="1" t="s">
        <v>29</v>
      </c>
      <c r="E85" s="1" t="s">
        <v>33</v>
      </c>
      <c r="F85" s="1">
        <v>18</v>
      </c>
      <c r="G85" s="1">
        <v>34.79</v>
      </c>
      <c r="H85" s="1">
        <v>626.22</v>
      </c>
      <c r="I85" s="1">
        <v>448.88</v>
      </c>
      <c r="J85" s="1">
        <v>177.34</v>
      </c>
      <c r="K85" s="8" t="str">
        <f t="shared" si="1"/>
        <v>Oct</v>
      </c>
    </row>
    <row r="86" spans="1:11">
      <c r="A86" s="1" t="s">
        <v>110</v>
      </c>
      <c r="B86" s="2">
        <v>45987</v>
      </c>
      <c r="C86" s="1" t="s">
        <v>36</v>
      </c>
      <c r="D86" s="1" t="s">
        <v>17</v>
      </c>
      <c r="E86" s="1" t="s">
        <v>26</v>
      </c>
      <c r="F86" s="1">
        <v>127</v>
      </c>
      <c r="G86" s="1">
        <v>12.55</v>
      </c>
      <c r="H86" s="1">
        <v>1593.85</v>
      </c>
      <c r="I86" s="1">
        <v>969.65</v>
      </c>
      <c r="J86" s="1">
        <v>624.20000000000005</v>
      </c>
      <c r="K86" s="8" t="str">
        <f t="shared" si="1"/>
        <v>Nov</v>
      </c>
    </row>
    <row r="87" spans="1:11">
      <c r="A87" s="1" t="s">
        <v>111</v>
      </c>
      <c r="B87" s="2">
        <v>45850</v>
      </c>
      <c r="C87" s="1" t="s">
        <v>36</v>
      </c>
      <c r="D87" s="1" t="s">
        <v>29</v>
      </c>
      <c r="E87" s="1" t="s">
        <v>33</v>
      </c>
      <c r="F87" s="1">
        <v>241</v>
      </c>
      <c r="G87" s="1">
        <v>26.76</v>
      </c>
      <c r="H87" s="1">
        <v>6449.16</v>
      </c>
      <c r="I87" s="1">
        <v>4679.21</v>
      </c>
      <c r="J87" s="1">
        <v>1769.95</v>
      </c>
      <c r="K87" s="8" t="str">
        <f t="shared" si="1"/>
        <v>Jul</v>
      </c>
    </row>
    <row r="88" spans="1:11">
      <c r="A88" s="1" t="s">
        <v>112</v>
      </c>
      <c r="B88" s="2">
        <v>45783</v>
      </c>
      <c r="C88" s="1" t="s">
        <v>16</v>
      </c>
      <c r="D88" s="1" t="s">
        <v>29</v>
      </c>
      <c r="E88" s="1" t="s">
        <v>23</v>
      </c>
      <c r="F88" s="1">
        <v>260</v>
      </c>
      <c r="G88" s="1">
        <v>17.91</v>
      </c>
      <c r="H88" s="1">
        <v>4656.6000000000004</v>
      </c>
      <c r="I88" s="1">
        <v>3219.53</v>
      </c>
      <c r="J88" s="1">
        <v>1437.07</v>
      </c>
      <c r="K88" s="8" t="str">
        <f t="shared" si="1"/>
        <v>May</v>
      </c>
    </row>
    <row r="89" spans="1:11">
      <c r="A89" s="1" t="s">
        <v>113</v>
      </c>
      <c r="B89" s="2">
        <v>45932</v>
      </c>
      <c r="C89" s="1" t="s">
        <v>36</v>
      </c>
      <c r="D89" s="1" t="s">
        <v>17</v>
      </c>
      <c r="E89" s="1" t="s">
        <v>14</v>
      </c>
      <c r="F89" s="1">
        <v>57</v>
      </c>
      <c r="G89" s="1">
        <v>29.78</v>
      </c>
      <c r="H89" s="1">
        <v>1697.46</v>
      </c>
      <c r="I89" s="1">
        <v>1040.9000000000001</v>
      </c>
      <c r="J89" s="1">
        <v>656.56</v>
      </c>
      <c r="K89" s="8" t="str">
        <f t="shared" si="1"/>
        <v>Oct</v>
      </c>
    </row>
    <row r="90" spans="1:11">
      <c r="A90" s="1" t="s">
        <v>114</v>
      </c>
      <c r="B90" s="2">
        <v>45696</v>
      </c>
      <c r="C90" s="1" t="s">
        <v>22</v>
      </c>
      <c r="D90" s="1" t="s">
        <v>29</v>
      </c>
      <c r="E90" s="1" t="s">
        <v>33</v>
      </c>
      <c r="F90" s="1">
        <v>145</v>
      </c>
      <c r="G90" s="1">
        <v>17.04</v>
      </c>
      <c r="H90" s="1">
        <v>2470.8000000000002</v>
      </c>
      <c r="I90" s="1">
        <v>1856.28</v>
      </c>
      <c r="J90" s="1">
        <v>614.52</v>
      </c>
      <c r="K90" s="8" t="str">
        <f t="shared" si="1"/>
        <v>Feb</v>
      </c>
    </row>
    <row r="91" spans="1:11">
      <c r="A91" s="1" t="s">
        <v>115</v>
      </c>
      <c r="B91" s="2">
        <v>45893</v>
      </c>
      <c r="C91" s="1" t="s">
        <v>36</v>
      </c>
      <c r="D91" s="1" t="s">
        <v>17</v>
      </c>
      <c r="E91" s="1" t="s">
        <v>26</v>
      </c>
      <c r="F91" s="1">
        <v>262</v>
      </c>
      <c r="G91" s="1">
        <v>35.369999999999997</v>
      </c>
      <c r="H91" s="1">
        <v>9266.94</v>
      </c>
      <c r="I91" s="1">
        <v>5702.39</v>
      </c>
      <c r="J91" s="1">
        <v>3564.55</v>
      </c>
      <c r="K91" s="8" t="str">
        <f t="shared" si="1"/>
        <v>Aug</v>
      </c>
    </row>
    <row r="92" spans="1:11">
      <c r="A92" s="1" t="s">
        <v>116</v>
      </c>
      <c r="B92" s="2">
        <v>45973</v>
      </c>
      <c r="C92" s="1" t="s">
        <v>31</v>
      </c>
      <c r="D92" s="1" t="s">
        <v>29</v>
      </c>
      <c r="E92" s="1" t="s">
        <v>33</v>
      </c>
      <c r="F92" s="1">
        <v>111</v>
      </c>
      <c r="G92" s="1">
        <v>12.32</v>
      </c>
      <c r="H92" s="1">
        <v>1367.52</v>
      </c>
      <c r="I92" s="1">
        <v>860.83</v>
      </c>
      <c r="J92" s="1">
        <v>506.69</v>
      </c>
      <c r="K92" s="8" t="str">
        <f t="shared" si="1"/>
        <v>Nov</v>
      </c>
    </row>
    <row r="93" spans="1:11">
      <c r="A93" s="1" t="s">
        <v>117</v>
      </c>
      <c r="B93" s="2">
        <v>46012</v>
      </c>
      <c r="C93" s="1" t="s">
        <v>28</v>
      </c>
      <c r="D93" s="1" t="s">
        <v>13</v>
      </c>
      <c r="E93" s="1" t="s">
        <v>18</v>
      </c>
      <c r="F93" s="1">
        <v>165</v>
      </c>
      <c r="G93" s="1">
        <v>28.63</v>
      </c>
      <c r="H93" s="1">
        <v>4723.95</v>
      </c>
      <c r="I93" s="1">
        <v>2960.44</v>
      </c>
      <c r="J93" s="1">
        <v>1763.51</v>
      </c>
      <c r="K93" s="8" t="str">
        <f t="shared" si="1"/>
        <v>Dec</v>
      </c>
    </row>
    <row r="94" spans="1:11">
      <c r="A94" s="1" t="s">
        <v>118</v>
      </c>
      <c r="B94" s="2">
        <v>45795</v>
      </c>
      <c r="C94" s="1" t="s">
        <v>31</v>
      </c>
      <c r="D94" s="1" t="s">
        <v>29</v>
      </c>
      <c r="E94" s="1" t="s">
        <v>23</v>
      </c>
      <c r="F94" s="1">
        <v>60</v>
      </c>
      <c r="G94" s="1">
        <v>30.77</v>
      </c>
      <c r="H94" s="1">
        <v>1846.2</v>
      </c>
      <c r="I94" s="1">
        <v>1357.22</v>
      </c>
      <c r="J94" s="1">
        <v>488.98</v>
      </c>
      <c r="K94" s="8" t="str">
        <f t="shared" si="1"/>
        <v>May</v>
      </c>
    </row>
    <row r="95" spans="1:11">
      <c r="A95" s="1" t="s">
        <v>119</v>
      </c>
      <c r="B95" s="2">
        <v>45804</v>
      </c>
      <c r="C95" s="1" t="s">
        <v>12</v>
      </c>
      <c r="D95" s="1" t="s">
        <v>13</v>
      </c>
      <c r="E95" s="1" t="s">
        <v>14</v>
      </c>
      <c r="F95" s="1">
        <v>247</v>
      </c>
      <c r="G95" s="1">
        <v>23.98</v>
      </c>
      <c r="H95" s="1">
        <v>5923.06</v>
      </c>
      <c r="I95" s="1">
        <v>4462.63</v>
      </c>
      <c r="J95" s="1">
        <v>1460.43</v>
      </c>
      <c r="K95" s="8" t="str">
        <f t="shared" si="1"/>
        <v>May</v>
      </c>
    </row>
    <row r="96" spans="1:11">
      <c r="A96" s="1" t="s">
        <v>120</v>
      </c>
      <c r="B96" s="2">
        <v>45701</v>
      </c>
      <c r="C96" s="1" t="s">
        <v>12</v>
      </c>
      <c r="D96" s="1" t="s">
        <v>17</v>
      </c>
      <c r="E96" s="1" t="s">
        <v>14</v>
      </c>
      <c r="F96" s="1">
        <v>252</v>
      </c>
      <c r="G96" s="1">
        <v>10.53</v>
      </c>
      <c r="H96" s="1">
        <v>2653.56</v>
      </c>
      <c r="I96" s="1">
        <v>1835.72</v>
      </c>
      <c r="J96" s="1">
        <v>817.84</v>
      </c>
      <c r="K96" s="8" t="str">
        <f t="shared" si="1"/>
        <v>Feb</v>
      </c>
    </row>
    <row r="97" spans="1:11">
      <c r="A97" s="1" t="s">
        <v>121</v>
      </c>
      <c r="B97" s="2">
        <v>45856</v>
      </c>
      <c r="C97" s="1" t="s">
        <v>16</v>
      </c>
      <c r="D97" s="1" t="s">
        <v>29</v>
      </c>
      <c r="E97" s="1" t="s">
        <v>26</v>
      </c>
      <c r="F97" s="1">
        <v>117</v>
      </c>
      <c r="G97" s="1">
        <v>37.5</v>
      </c>
      <c r="H97" s="1">
        <v>4387.5</v>
      </c>
      <c r="I97" s="1">
        <v>3449.05</v>
      </c>
      <c r="J97" s="1">
        <v>938.45</v>
      </c>
      <c r="K97" s="8" t="str">
        <f t="shared" si="1"/>
        <v>Jul</v>
      </c>
    </row>
    <row r="98" spans="1:11">
      <c r="A98" s="1" t="s">
        <v>122</v>
      </c>
      <c r="B98" s="2">
        <v>45730</v>
      </c>
      <c r="C98" s="1" t="s">
        <v>12</v>
      </c>
      <c r="D98" s="1" t="s">
        <v>29</v>
      </c>
      <c r="E98" s="1" t="s">
        <v>23</v>
      </c>
      <c r="F98" s="1">
        <v>278</v>
      </c>
      <c r="G98" s="1">
        <v>17.850000000000001</v>
      </c>
      <c r="H98" s="1">
        <v>4962.3</v>
      </c>
      <c r="I98" s="1">
        <v>3334.22</v>
      </c>
      <c r="J98" s="1">
        <v>1628.08</v>
      </c>
      <c r="K98" s="8" t="str">
        <f t="shared" si="1"/>
        <v>Mar</v>
      </c>
    </row>
    <row r="99" spans="1:11">
      <c r="A99" s="1" t="s">
        <v>123</v>
      </c>
      <c r="B99" s="2">
        <v>45801</v>
      </c>
      <c r="C99" s="1" t="s">
        <v>28</v>
      </c>
      <c r="D99" s="1" t="s">
        <v>17</v>
      </c>
      <c r="E99" s="1" t="s">
        <v>26</v>
      </c>
      <c r="F99" s="1">
        <v>67</v>
      </c>
      <c r="G99" s="1">
        <v>31.1</v>
      </c>
      <c r="H99" s="1">
        <v>2083.6999999999998</v>
      </c>
      <c r="I99" s="1">
        <v>1346.65</v>
      </c>
      <c r="J99" s="1">
        <v>737.05</v>
      </c>
      <c r="K99" s="8" t="str">
        <f t="shared" si="1"/>
        <v>May</v>
      </c>
    </row>
    <row r="100" spans="1:11">
      <c r="A100" s="1" t="s">
        <v>124</v>
      </c>
      <c r="B100" s="2">
        <v>45739</v>
      </c>
      <c r="C100" s="1" t="s">
        <v>28</v>
      </c>
      <c r="D100" s="1" t="s">
        <v>17</v>
      </c>
      <c r="E100" s="1" t="s">
        <v>33</v>
      </c>
      <c r="F100" s="1">
        <v>11</v>
      </c>
      <c r="G100" s="1">
        <v>38.5</v>
      </c>
      <c r="H100" s="1">
        <v>423.5</v>
      </c>
      <c r="I100" s="1">
        <v>311.83</v>
      </c>
      <c r="J100" s="1">
        <v>111.67</v>
      </c>
      <c r="K100" s="8" t="str">
        <f t="shared" si="1"/>
        <v>Mar</v>
      </c>
    </row>
    <row r="101" spans="1:11">
      <c r="A101" s="1" t="s">
        <v>125</v>
      </c>
      <c r="B101" s="2">
        <v>45730</v>
      </c>
      <c r="C101" s="1" t="s">
        <v>31</v>
      </c>
      <c r="D101" s="1" t="s">
        <v>13</v>
      </c>
      <c r="E101" s="1" t="s">
        <v>14</v>
      </c>
      <c r="F101" s="1">
        <v>223</v>
      </c>
      <c r="G101" s="1">
        <v>20.32</v>
      </c>
      <c r="H101" s="1">
        <v>4531.3599999999997</v>
      </c>
      <c r="I101" s="1">
        <v>3005.27</v>
      </c>
      <c r="J101" s="1">
        <v>1526.09</v>
      </c>
      <c r="K101" s="8" t="str">
        <f t="shared" si="1"/>
        <v>Mar</v>
      </c>
    </row>
    <row r="102" spans="1:11">
      <c r="A102" s="1" t="s">
        <v>126</v>
      </c>
      <c r="B102" s="2">
        <v>45831</v>
      </c>
      <c r="C102" s="1" t="s">
        <v>36</v>
      </c>
      <c r="D102" s="1" t="s">
        <v>13</v>
      </c>
      <c r="E102" s="1" t="s">
        <v>33</v>
      </c>
      <c r="F102" s="1">
        <v>213</v>
      </c>
      <c r="G102" s="1">
        <v>13.6</v>
      </c>
      <c r="H102" s="1">
        <v>2896.8</v>
      </c>
      <c r="I102" s="1">
        <v>2274.8000000000002</v>
      </c>
      <c r="J102" s="1">
        <v>622</v>
      </c>
      <c r="K102" s="8" t="str">
        <f t="shared" si="1"/>
        <v>Jun</v>
      </c>
    </row>
    <row r="103" spans="1:11">
      <c r="A103" s="1" t="s">
        <v>127</v>
      </c>
      <c r="B103" s="2">
        <v>45806</v>
      </c>
      <c r="C103" s="1" t="s">
        <v>12</v>
      </c>
      <c r="D103" s="1" t="s">
        <v>13</v>
      </c>
      <c r="E103" s="1" t="s">
        <v>14</v>
      </c>
      <c r="F103" s="1">
        <v>139</v>
      </c>
      <c r="G103" s="1">
        <v>21.17</v>
      </c>
      <c r="H103" s="1">
        <v>2942.63</v>
      </c>
      <c r="I103" s="1">
        <v>1996.81</v>
      </c>
      <c r="J103" s="1">
        <v>945.82</v>
      </c>
      <c r="K103" s="8" t="str">
        <f t="shared" si="1"/>
        <v>May</v>
      </c>
    </row>
    <row r="104" spans="1:11">
      <c r="A104" s="1" t="s">
        <v>128</v>
      </c>
      <c r="B104" s="2">
        <v>45877</v>
      </c>
      <c r="C104" s="1" t="s">
        <v>16</v>
      </c>
      <c r="D104" s="1" t="s">
        <v>29</v>
      </c>
      <c r="E104" s="1" t="s">
        <v>14</v>
      </c>
      <c r="F104" s="1">
        <v>150</v>
      </c>
      <c r="G104" s="1">
        <v>35.630000000000003</v>
      </c>
      <c r="H104" s="1">
        <v>5344.5</v>
      </c>
      <c r="I104" s="1">
        <v>3506.67</v>
      </c>
      <c r="J104" s="1">
        <v>1837.83</v>
      </c>
      <c r="K104" s="8" t="str">
        <f t="shared" si="1"/>
        <v>Aug</v>
      </c>
    </row>
    <row r="105" spans="1:11">
      <c r="A105" s="1" t="s">
        <v>129</v>
      </c>
      <c r="B105" s="2">
        <v>45983</v>
      </c>
      <c r="C105" s="1" t="s">
        <v>12</v>
      </c>
      <c r="D105" s="1" t="s">
        <v>17</v>
      </c>
      <c r="E105" s="1" t="s">
        <v>20</v>
      </c>
      <c r="F105" s="1">
        <v>86</v>
      </c>
      <c r="G105" s="1">
        <v>17.48</v>
      </c>
      <c r="H105" s="1">
        <v>1503.28</v>
      </c>
      <c r="I105" s="1">
        <v>981.86</v>
      </c>
      <c r="J105" s="1">
        <v>521.41999999999996</v>
      </c>
      <c r="K105" s="8" t="str">
        <f t="shared" si="1"/>
        <v>Nov</v>
      </c>
    </row>
    <row r="106" spans="1:11">
      <c r="A106" s="1" t="s">
        <v>130</v>
      </c>
      <c r="B106" s="2">
        <v>45849</v>
      </c>
      <c r="C106" s="1" t="s">
        <v>36</v>
      </c>
      <c r="D106" s="1" t="s">
        <v>17</v>
      </c>
      <c r="E106" s="1" t="s">
        <v>23</v>
      </c>
      <c r="F106" s="1">
        <v>229</v>
      </c>
      <c r="G106" s="1">
        <v>36.53</v>
      </c>
      <c r="H106" s="1">
        <v>8365.3700000000008</v>
      </c>
      <c r="I106" s="1">
        <v>6377.69</v>
      </c>
      <c r="J106" s="1">
        <v>1987.68</v>
      </c>
      <c r="K106" s="8" t="str">
        <f t="shared" si="1"/>
        <v>Jul</v>
      </c>
    </row>
    <row r="107" spans="1:11">
      <c r="A107" s="1" t="s">
        <v>131</v>
      </c>
      <c r="B107" s="2">
        <v>45939</v>
      </c>
      <c r="C107" s="1" t="s">
        <v>36</v>
      </c>
      <c r="D107" s="1" t="s">
        <v>17</v>
      </c>
      <c r="E107" s="1" t="s">
        <v>18</v>
      </c>
      <c r="F107" s="1">
        <v>114</v>
      </c>
      <c r="G107" s="1">
        <v>31.59</v>
      </c>
      <c r="H107" s="1">
        <v>3601.26</v>
      </c>
      <c r="I107" s="1">
        <v>2196.39</v>
      </c>
      <c r="J107" s="1">
        <v>1404.87</v>
      </c>
      <c r="K107" s="8" t="str">
        <f t="shared" si="1"/>
        <v>Oct</v>
      </c>
    </row>
    <row r="108" spans="1:11">
      <c r="A108" s="1" t="s">
        <v>132</v>
      </c>
      <c r="B108" s="2">
        <v>45972</v>
      </c>
      <c r="C108" s="1" t="s">
        <v>16</v>
      </c>
      <c r="D108" s="1" t="s">
        <v>29</v>
      </c>
      <c r="E108" s="1" t="s">
        <v>20</v>
      </c>
      <c r="F108" s="1">
        <v>80</v>
      </c>
      <c r="G108" s="1">
        <v>29.33</v>
      </c>
      <c r="H108" s="1">
        <v>2346.4</v>
      </c>
      <c r="I108" s="1">
        <v>1542.15</v>
      </c>
      <c r="J108" s="1">
        <v>804.25</v>
      </c>
      <c r="K108" s="8" t="str">
        <f t="shared" si="1"/>
        <v>Nov</v>
      </c>
    </row>
    <row r="109" spans="1:11">
      <c r="A109" s="1" t="s">
        <v>133</v>
      </c>
      <c r="B109" s="2">
        <v>45745</v>
      </c>
      <c r="C109" s="1" t="s">
        <v>31</v>
      </c>
      <c r="D109" s="1" t="s">
        <v>29</v>
      </c>
      <c r="E109" s="1" t="s">
        <v>33</v>
      </c>
      <c r="F109" s="1">
        <v>251</v>
      </c>
      <c r="G109" s="1">
        <v>22.45</v>
      </c>
      <c r="H109" s="1">
        <v>5634.95</v>
      </c>
      <c r="I109" s="1">
        <v>3698.49</v>
      </c>
      <c r="J109" s="1">
        <v>1936.46</v>
      </c>
      <c r="K109" s="8" t="str">
        <f t="shared" si="1"/>
        <v>Mar</v>
      </c>
    </row>
    <row r="110" spans="1:11">
      <c r="A110" s="1" t="s">
        <v>134</v>
      </c>
      <c r="B110" s="2">
        <v>45992</v>
      </c>
      <c r="C110" s="1" t="s">
        <v>28</v>
      </c>
      <c r="D110" s="1" t="s">
        <v>29</v>
      </c>
      <c r="E110" s="1" t="s">
        <v>33</v>
      </c>
      <c r="F110" s="1">
        <v>143</v>
      </c>
      <c r="G110" s="1">
        <v>22.19</v>
      </c>
      <c r="H110" s="1">
        <v>3173.17</v>
      </c>
      <c r="I110" s="1">
        <v>2055.37</v>
      </c>
      <c r="J110" s="1">
        <v>1117.8</v>
      </c>
      <c r="K110" s="8" t="str">
        <f t="shared" si="1"/>
        <v>Dec</v>
      </c>
    </row>
    <row r="111" spans="1:11">
      <c r="A111" s="1" t="s">
        <v>135</v>
      </c>
      <c r="B111" s="2">
        <v>45859</v>
      </c>
      <c r="C111" s="1" t="s">
        <v>22</v>
      </c>
      <c r="D111" s="1" t="s">
        <v>29</v>
      </c>
      <c r="E111" s="1" t="s">
        <v>18</v>
      </c>
      <c r="F111" s="1">
        <v>71</v>
      </c>
      <c r="G111" s="1">
        <v>15.02</v>
      </c>
      <c r="H111" s="1">
        <v>1066.42</v>
      </c>
      <c r="I111" s="1">
        <v>674.33</v>
      </c>
      <c r="J111" s="1">
        <v>392.09</v>
      </c>
      <c r="K111" s="8" t="str">
        <f t="shared" si="1"/>
        <v>Jul</v>
      </c>
    </row>
    <row r="112" spans="1:11">
      <c r="A112" s="1" t="s">
        <v>136</v>
      </c>
      <c r="B112" s="2">
        <v>45939</v>
      </c>
      <c r="C112" s="1" t="s">
        <v>28</v>
      </c>
      <c r="D112" s="1" t="s">
        <v>17</v>
      </c>
      <c r="E112" s="1" t="s">
        <v>20</v>
      </c>
      <c r="F112" s="1">
        <v>122</v>
      </c>
      <c r="G112" s="1">
        <v>23.59</v>
      </c>
      <c r="H112" s="1">
        <v>2877.98</v>
      </c>
      <c r="I112" s="1">
        <v>1918.37</v>
      </c>
      <c r="J112" s="1">
        <v>959.61</v>
      </c>
      <c r="K112" s="8" t="str">
        <f t="shared" si="1"/>
        <v>Oct</v>
      </c>
    </row>
    <row r="113" spans="1:11">
      <c r="A113" s="1" t="s">
        <v>137</v>
      </c>
      <c r="B113" s="2">
        <v>45938</v>
      </c>
      <c r="C113" s="1" t="s">
        <v>12</v>
      </c>
      <c r="D113" s="1" t="s">
        <v>13</v>
      </c>
      <c r="E113" s="1" t="s">
        <v>14</v>
      </c>
      <c r="F113" s="1">
        <v>108</v>
      </c>
      <c r="G113" s="1">
        <v>17.32</v>
      </c>
      <c r="H113" s="1">
        <v>1870.56</v>
      </c>
      <c r="I113" s="1">
        <v>1187.69</v>
      </c>
      <c r="J113" s="1">
        <v>682.87</v>
      </c>
      <c r="K113" s="8" t="str">
        <f t="shared" si="1"/>
        <v>Oct</v>
      </c>
    </row>
    <row r="114" spans="1:11">
      <c r="A114" s="1" t="s">
        <v>138</v>
      </c>
      <c r="B114" s="2">
        <v>45780</v>
      </c>
      <c r="C114" s="1" t="s">
        <v>16</v>
      </c>
      <c r="D114" s="1" t="s">
        <v>29</v>
      </c>
      <c r="E114" s="1" t="s">
        <v>18</v>
      </c>
      <c r="F114" s="1">
        <v>198</v>
      </c>
      <c r="G114" s="1">
        <v>17.75</v>
      </c>
      <c r="H114" s="1">
        <v>3514.5</v>
      </c>
      <c r="I114" s="1">
        <v>2509.08</v>
      </c>
      <c r="J114" s="1">
        <v>1005.42</v>
      </c>
      <c r="K114" s="8" t="str">
        <f t="shared" si="1"/>
        <v>May</v>
      </c>
    </row>
    <row r="115" spans="1:11">
      <c r="A115" s="1" t="s">
        <v>139</v>
      </c>
      <c r="B115" s="2">
        <v>45854</v>
      </c>
      <c r="C115" s="1" t="s">
        <v>31</v>
      </c>
      <c r="D115" s="1" t="s">
        <v>17</v>
      </c>
      <c r="E115" s="1" t="s">
        <v>26</v>
      </c>
      <c r="F115" s="1">
        <v>221</v>
      </c>
      <c r="G115" s="1">
        <v>32.380000000000003</v>
      </c>
      <c r="H115" s="1">
        <v>7155.98</v>
      </c>
      <c r="I115" s="1">
        <v>4594.1499999999996</v>
      </c>
      <c r="J115" s="1">
        <v>2561.83</v>
      </c>
      <c r="K115" s="8" t="str">
        <f t="shared" si="1"/>
        <v>Jul</v>
      </c>
    </row>
    <row r="116" spans="1:11">
      <c r="A116" s="1" t="s">
        <v>140</v>
      </c>
      <c r="B116" s="2">
        <v>45913</v>
      </c>
      <c r="C116" s="1" t="s">
        <v>36</v>
      </c>
      <c r="D116" s="1" t="s">
        <v>29</v>
      </c>
      <c r="E116" s="1" t="s">
        <v>23</v>
      </c>
      <c r="F116" s="1">
        <v>152</v>
      </c>
      <c r="G116" s="1">
        <v>27.23</v>
      </c>
      <c r="H116" s="1">
        <v>4138.96</v>
      </c>
      <c r="I116" s="1">
        <v>2781.5</v>
      </c>
      <c r="J116" s="1">
        <v>1357.46</v>
      </c>
      <c r="K116" s="8" t="str">
        <f t="shared" si="1"/>
        <v>Sep</v>
      </c>
    </row>
    <row r="117" spans="1:11">
      <c r="A117" s="1" t="s">
        <v>141</v>
      </c>
      <c r="B117" s="2">
        <v>45980</v>
      </c>
      <c r="C117" s="1" t="s">
        <v>28</v>
      </c>
      <c r="D117" s="1" t="s">
        <v>17</v>
      </c>
      <c r="E117" s="1" t="s">
        <v>33</v>
      </c>
      <c r="F117" s="1">
        <v>120</v>
      </c>
      <c r="G117" s="1">
        <v>12.78</v>
      </c>
      <c r="H117" s="1">
        <v>1533.6</v>
      </c>
      <c r="I117" s="1">
        <v>1195.22</v>
      </c>
      <c r="J117" s="1">
        <v>338.38</v>
      </c>
      <c r="K117" s="8" t="str">
        <f t="shared" si="1"/>
        <v>Nov</v>
      </c>
    </row>
    <row r="118" spans="1:11">
      <c r="A118" s="1" t="s">
        <v>142</v>
      </c>
      <c r="B118" s="2">
        <v>45886</v>
      </c>
      <c r="C118" s="1" t="s">
        <v>16</v>
      </c>
      <c r="D118" s="1" t="s">
        <v>13</v>
      </c>
      <c r="E118" s="1" t="s">
        <v>26</v>
      </c>
      <c r="F118" s="1">
        <v>231</v>
      </c>
      <c r="G118" s="1">
        <v>38.619999999999997</v>
      </c>
      <c r="H118" s="1">
        <v>8921.2199999999993</v>
      </c>
      <c r="I118" s="1">
        <v>6866.99</v>
      </c>
      <c r="J118" s="1">
        <v>2054.23</v>
      </c>
      <c r="K118" s="8" t="str">
        <f t="shared" si="1"/>
        <v>Aug</v>
      </c>
    </row>
    <row r="119" spans="1:11">
      <c r="A119" s="1" t="s">
        <v>143</v>
      </c>
      <c r="B119" s="2">
        <v>45875</v>
      </c>
      <c r="C119" s="1" t="s">
        <v>16</v>
      </c>
      <c r="D119" s="1" t="s">
        <v>17</v>
      </c>
      <c r="E119" s="1" t="s">
        <v>23</v>
      </c>
      <c r="F119" s="1">
        <v>252</v>
      </c>
      <c r="G119" s="1">
        <v>39.049999999999997</v>
      </c>
      <c r="H119" s="1">
        <v>9840.6</v>
      </c>
      <c r="I119" s="1">
        <v>6868.39</v>
      </c>
      <c r="J119" s="1">
        <v>2972.21</v>
      </c>
      <c r="K119" s="8" t="str">
        <f t="shared" si="1"/>
        <v>Aug</v>
      </c>
    </row>
    <row r="120" spans="1:11">
      <c r="A120" s="1" t="s">
        <v>144</v>
      </c>
      <c r="B120" s="2">
        <v>45897</v>
      </c>
      <c r="C120" s="1" t="s">
        <v>22</v>
      </c>
      <c r="D120" s="1" t="s">
        <v>13</v>
      </c>
      <c r="E120" s="1" t="s">
        <v>23</v>
      </c>
      <c r="F120" s="1">
        <v>239</v>
      </c>
      <c r="G120" s="1">
        <v>17.45</v>
      </c>
      <c r="H120" s="1">
        <v>4170.55</v>
      </c>
      <c r="I120" s="1">
        <v>2593.29</v>
      </c>
      <c r="J120" s="1">
        <v>1577.26</v>
      </c>
      <c r="K120" s="8" t="str">
        <f t="shared" si="1"/>
        <v>Aug</v>
      </c>
    </row>
    <row r="121" spans="1:11">
      <c r="A121" s="1" t="s">
        <v>145</v>
      </c>
      <c r="B121" s="2">
        <v>46007</v>
      </c>
      <c r="C121" s="1" t="s">
        <v>36</v>
      </c>
      <c r="D121" s="1" t="s">
        <v>17</v>
      </c>
      <c r="E121" s="1" t="s">
        <v>26</v>
      </c>
      <c r="F121" s="1">
        <v>65</v>
      </c>
      <c r="G121" s="1">
        <v>38.24</v>
      </c>
      <c r="H121" s="1">
        <v>2485.6</v>
      </c>
      <c r="I121" s="1">
        <v>1850.15</v>
      </c>
      <c r="J121" s="1">
        <v>635.45000000000005</v>
      </c>
      <c r="K121" s="8" t="str">
        <f t="shared" si="1"/>
        <v>Dec</v>
      </c>
    </row>
    <row r="122" spans="1:11">
      <c r="A122" s="1" t="s">
        <v>146</v>
      </c>
      <c r="B122" s="2">
        <v>45940</v>
      </c>
      <c r="C122" s="1" t="s">
        <v>12</v>
      </c>
      <c r="D122" s="1" t="s">
        <v>13</v>
      </c>
      <c r="E122" s="1" t="s">
        <v>33</v>
      </c>
      <c r="F122" s="1">
        <v>30</v>
      </c>
      <c r="G122" s="1">
        <v>10.039999999999999</v>
      </c>
      <c r="H122" s="1">
        <v>301.2</v>
      </c>
      <c r="I122" s="1">
        <v>188.29</v>
      </c>
      <c r="J122" s="1">
        <v>112.91</v>
      </c>
      <c r="K122" s="8" t="str">
        <f t="shared" si="1"/>
        <v>Oct</v>
      </c>
    </row>
    <row r="123" spans="1:11">
      <c r="A123" s="1" t="s">
        <v>147</v>
      </c>
      <c r="B123" s="2">
        <v>45813</v>
      </c>
      <c r="C123" s="1" t="s">
        <v>28</v>
      </c>
      <c r="D123" s="1" t="s">
        <v>29</v>
      </c>
      <c r="E123" s="1" t="s">
        <v>26</v>
      </c>
      <c r="F123" s="1">
        <v>75</v>
      </c>
      <c r="G123" s="1">
        <v>28.79</v>
      </c>
      <c r="H123" s="1">
        <v>2159.25</v>
      </c>
      <c r="I123" s="1">
        <v>1523.68</v>
      </c>
      <c r="J123" s="1">
        <v>635.57000000000005</v>
      </c>
      <c r="K123" s="8" t="str">
        <f t="shared" si="1"/>
        <v>Jun</v>
      </c>
    </row>
    <row r="124" spans="1:11">
      <c r="A124" s="1" t="s">
        <v>148</v>
      </c>
      <c r="B124" s="2">
        <v>45708</v>
      </c>
      <c r="C124" s="1" t="s">
        <v>22</v>
      </c>
      <c r="D124" s="1" t="s">
        <v>17</v>
      </c>
      <c r="E124" s="1" t="s">
        <v>14</v>
      </c>
      <c r="F124" s="1">
        <v>46</v>
      </c>
      <c r="G124" s="1">
        <v>19.010000000000002</v>
      </c>
      <c r="H124" s="1">
        <v>874.46</v>
      </c>
      <c r="I124" s="1">
        <v>689.69</v>
      </c>
      <c r="J124" s="1">
        <v>184.77</v>
      </c>
      <c r="K124" s="8" t="str">
        <f t="shared" si="1"/>
        <v>Feb</v>
      </c>
    </row>
    <row r="125" spans="1:11">
      <c r="A125" s="1" t="s">
        <v>149</v>
      </c>
      <c r="B125" s="2">
        <v>45772</v>
      </c>
      <c r="C125" s="1" t="s">
        <v>28</v>
      </c>
      <c r="D125" s="1" t="s">
        <v>17</v>
      </c>
      <c r="E125" s="1" t="s">
        <v>14</v>
      </c>
      <c r="F125" s="1">
        <v>10</v>
      </c>
      <c r="G125" s="1">
        <v>10.31</v>
      </c>
      <c r="H125" s="1">
        <v>103.1</v>
      </c>
      <c r="I125" s="1">
        <v>68.08</v>
      </c>
      <c r="J125" s="1">
        <v>35.020000000000003</v>
      </c>
      <c r="K125" s="8" t="str">
        <f t="shared" si="1"/>
        <v>Apr</v>
      </c>
    </row>
    <row r="126" spans="1:11">
      <c r="A126" s="1" t="s">
        <v>150</v>
      </c>
      <c r="B126" s="2">
        <v>45988</v>
      </c>
      <c r="C126" s="1" t="s">
        <v>22</v>
      </c>
      <c r="D126" s="1" t="s">
        <v>13</v>
      </c>
      <c r="E126" s="1" t="s">
        <v>18</v>
      </c>
      <c r="F126" s="1">
        <v>134</v>
      </c>
      <c r="G126" s="1">
        <v>24.26</v>
      </c>
      <c r="H126" s="1">
        <v>3250.84</v>
      </c>
      <c r="I126" s="1">
        <v>2103.14</v>
      </c>
      <c r="J126" s="1">
        <v>1147.7</v>
      </c>
      <c r="K126" s="8" t="str">
        <f t="shared" si="1"/>
        <v>Nov</v>
      </c>
    </row>
    <row r="127" spans="1:11">
      <c r="A127" s="1" t="s">
        <v>151</v>
      </c>
      <c r="B127" s="2">
        <v>46018</v>
      </c>
      <c r="C127" s="1" t="s">
        <v>36</v>
      </c>
      <c r="D127" s="1" t="s">
        <v>29</v>
      </c>
      <c r="E127" s="1" t="s">
        <v>18</v>
      </c>
      <c r="F127" s="1">
        <v>167</v>
      </c>
      <c r="G127" s="1">
        <v>11.66</v>
      </c>
      <c r="H127" s="1">
        <v>1947.22</v>
      </c>
      <c r="I127" s="1">
        <v>1243.93</v>
      </c>
      <c r="J127" s="1">
        <v>703.29</v>
      </c>
      <c r="K127" s="8" t="str">
        <f t="shared" si="1"/>
        <v>Dec</v>
      </c>
    </row>
    <row r="128" spans="1:11">
      <c r="A128" s="1" t="s">
        <v>152</v>
      </c>
      <c r="B128" s="2">
        <v>45699</v>
      </c>
      <c r="C128" s="1" t="s">
        <v>31</v>
      </c>
      <c r="D128" s="1" t="s">
        <v>13</v>
      </c>
      <c r="E128" s="1" t="s">
        <v>18</v>
      </c>
      <c r="F128" s="1">
        <v>141</v>
      </c>
      <c r="G128" s="1">
        <v>16.84</v>
      </c>
      <c r="H128" s="1">
        <v>2374.44</v>
      </c>
      <c r="I128" s="1">
        <v>1626.17</v>
      </c>
      <c r="J128" s="1">
        <v>748.27</v>
      </c>
      <c r="K128" s="8" t="str">
        <f t="shared" si="1"/>
        <v>Feb</v>
      </c>
    </row>
    <row r="129" spans="1:11">
      <c r="A129" s="1" t="s">
        <v>153</v>
      </c>
      <c r="B129" s="2">
        <v>45675</v>
      </c>
      <c r="C129" s="1" t="s">
        <v>28</v>
      </c>
      <c r="D129" s="1" t="s">
        <v>13</v>
      </c>
      <c r="E129" s="1" t="s">
        <v>26</v>
      </c>
      <c r="F129" s="1">
        <v>183</v>
      </c>
      <c r="G129" s="1">
        <v>31.55</v>
      </c>
      <c r="H129" s="1">
        <v>5773.65</v>
      </c>
      <c r="I129" s="1">
        <v>3882.57</v>
      </c>
      <c r="J129" s="1">
        <v>1891.08</v>
      </c>
      <c r="K129" s="8" t="str">
        <f t="shared" si="1"/>
        <v>Jan</v>
      </c>
    </row>
    <row r="130" spans="1:11">
      <c r="A130" s="1" t="s">
        <v>154</v>
      </c>
      <c r="B130" s="2">
        <v>45807</v>
      </c>
      <c r="C130" s="1" t="s">
        <v>22</v>
      </c>
      <c r="D130" s="1" t="s">
        <v>17</v>
      </c>
      <c r="E130" s="1" t="s">
        <v>20</v>
      </c>
      <c r="F130" s="1">
        <v>268</v>
      </c>
      <c r="G130" s="1">
        <v>12.02</v>
      </c>
      <c r="H130" s="1">
        <v>3221.36</v>
      </c>
      <c r="I130" s="1">
        <v>2252.1799999999998</v>
      </c>
      <c r="J130" s="1">
        <v>969.18</v>
      </c>
      <c r="K130" s="8" t="str">
        <f t="shared" ref="K130:K193" si="2">TEXT(B130,"mmm")</f>
        <v>May</v>
      </c>
    </row>
    <row r="131" spans="1:11">
      <c r="A131" s="1" t="s">
        <v>155</v>
      </c>
      <c r="B131" s="2">
        <v>45776</v>
      </c>
      <c r="C131" s="1" t="s">
        <v>31</v>
      </c>
      <c r="D131" s="1" t="s">
        <v>13</v>
      </c>
      <c r="E131" s="1" t="s">
        <v>23</v>
      </c>
      <c r="F131" s="1">
        <v>248</v>
      </c>
      <c r="G131" s="1">
        <v>16.64</v>
      </c>
      <c r="H131" s="1">
        <v>4126.72</v>
      </c>
      <c r="I131" s="1">
        <v>3103.68</v>
      </c>
      <c r="J131" s="1">
        <v>1023.04</v>
      </c>
      <c r="K131" s="8" t="str">
        <f t="shared" si="2"/>
        <v>Apr</v>
      </c>
    </row>
    <row r="132" spans="1:11">
      <c r="A132" s="1" t="s">
        <v>156</v>
      </c>
      <c r="B132" s="2">
        <v>45911</v>
      </c>
      <c r="C132" s="1" t="s">
        <v>36</v>
      </c>
      <c r="D132" s="1" t="s">
        <v>13</v>
      </c>
      <c r="E132" s="1" t="s">
        <v>23</v>
      </c>
      <c r="F132" s="1">
        <v>105</v>
      </c>
      <c r="G132" s="1">
        <v>36.89</v>
      </c>
      <c r="H132" s="1">
        <v>3873.45</v>
      </c>
      <c r="I132" s="1">
        <v>2699.84</v>
      </c>
      <c r="J132" s="1">
        <v>1173.6099999999999</v>
      </c>
      <c r="K132" s="8" t="str">
        <f t="shared" si="2"/>
        <v>Sep</v>
      </c>
    </row>
    <row r="133" spans="1:11">
      <c r="A133" s="1" t="s">
        <v>157</v>
      </c>
      <c r="B133" s="2">
        <v>45732</v>
      </c>
      <c r="C133" s="1" t="s">
        <v>12</v>
      </c>
      <c r="D133" s="1" t="s">
        <v>13</v>
      </c>
      <c r="E133" s="1" t="s">
        <v>18</v>
      </c>
      <c r="F133" s="1">
        <v>211</v>
      </c>
      <c r="G133" s="1">
        <v>11.63</v>
      </c>
      <c r="H133" s="1">
        <v>2453.9299999999998</v>
      </c>
      <c r="I133" s="1">
        <v>1483.95</v>
      </c>
      <c r="J133" s="1">
        <v>969.98</v>
      </c>
      <c r="K133" s="8" t="str">
        <f t="shared" si="2"/>
        <v>Mar</v>
      </c>
    </row>
    <row r="134" spans="1:11">
      <c r="A134" s="1" t="s">
        <v>158</v>
      </c>
      <c r="B134" s="2">
        <v>45684</v>
      </c>
      <c r="C134" s="1" t="s">
        <v>36</v>
      </c>
      <c r="D134" s="1" t="s">
        <v>17</v>
      </c>
      <c r="E134" s="1" t="s">
        <v>33</v>
      </c>
      <c r="F134" s="1">
        <v>40</v>
      </c>
      <c r="G134" s="1">
        <v>15.52</v>
      </c>
      <c r="H134" s="1">
        <v>620.79999999999995</v>
      </c>
      <c r="I134" s="1">
        <v>428.31</v>
      </c>
      <c r="J134" s="1">
        <v>192.49</v>
      </c>
      <c r="K134" s="8" t="str">
        <f t="shared" si="2"/>
        <v>Jan</v>
      </c>
    </row>
    <row r="135" spans="1:11">
      <c r="A135" s="1" t="s">
        <v>159</v>
      </c>
      <c r="B135" s="2">
        <v>45715</v>
      </c>
      <c r="C135" s="1" t="s">
        <v>22</v>
      </c>
      <c r="D135" s="1" t="s">
        <v>29</v>
      </c>
      <c r="E135" s="1" t="s">
        <v>23</v>
      </c>
      <c r="F135" s="1">
        <v>50</v>
      </c>
      <c r="G135" s="1">
        <v>37.950000000000003</v>
      </c>
      <c r="H135" s="1">
        <v>1897.5</v>
      </c>
      <c r="I135" s="1">
        <v>1263.45</v>
      </c>
      <c r="J135" s="1">
        <v>634.04999999999995</v>
      </c>
      <c r="K135" s="8" t="str">
        <f t="shared" si="2"/>
        <v>Feb</v>
      </c>
    </row>
    <row r="136" spans="1:11">
      <c r="A136" s="1" t="s">
        <v>160</v>
      </c>
      <c r="B136" s="2">
        <v>45897</v>
      </c>
      <c r="C136" s="1" t="s">
        <v>31</v>
      </c>
      <c r="D136" s="1" t="s">
        <v>17</v>
      </c>
      <c r="E136" s="1" t="s">
        <v>18</v>
      </c>
      <c r="F136" s="1">
        <v>26</v>
      </c>
      <c r="G136" s="1">
        <v>19.350000000000001</v>
      </c>
      <c r="H136" s="1">
        <v>503.1</v>
      </c>
      <c r="I136" s="1">
        <v>374.85</v>
      </c>
      <c r="J136" s="1">
        <v>128.25</v>
      </c>
      <c r="K136" s="8" t="str">
        <f t="shared" si="2"/>
        <v>Aug</v>
      </c>
    </row>
    <row r="137" spans="1:11">
      <c r="A137" s="1" t="s">
        <v>161</v>
      </c>
      <c r="B137" s="2">
        <v>45744</v>
      </c>
      <c r="C137" s="1" t="s">
        <v>31</v>
      </c>
      <c r="D137" s="1" t="s">
        <v>17</v>
      </c>
      <c r="E137" s="1" t="s">
        <v>26</v>
      </c>
      <c r="F137" s="1">
        <v>65</v>
      </c>
      <c r="G137" s="1">
        <v>10.09</v>
      </c>
      <c r="H137" s="1">
        <v>655.85</v>
      </c>
      <c r="I137" s="1">
        <v>430.21</v>
      </c>
      <c r="J137" s="1">
        <v>225.64</v>
      </c>
      <c r="K137" s="8" t="str">
        <f t="shared" si="2"/>
        <v>Mar</v>
      </c>
    </row>
    <row r="138" spans="1:11">
      <c r="A138" s="1" t="s">
        <v>162</v>
      </c>
      <c r="B138" s="2">
        <v>45945</v>
      </c>
      <c r="C138" s="1" t="s">
        <v>31</v>
      </c>
      <c r="D138" s="1" t="s">
        <v>17</v>
      </c>
      <c r="E138" s="1" t="s">
        <v>26</v>
      </c>
      <c r="F138" s="1">
        <v>116</v>
      </c>
      <c r="G138" s="1">
        <v>21.4</v>
      </c>
      <c r="H138" s="1">
        <v>2482.4</v>
      </c>
      <c r="I138" s="1">
        <v>1871.1</v>
      </c>
      <c r="J138" s="1">
        <v>611.29999999999995</v>
      </c>
      <c r="K138" s="8" t="str">
        <f t="shared" si="2"/>
        <v>Oct</v>
      </c>
    </row>
    <row r="139" spans="1:11">
      <c r="A139" s="1" t="s">
        <v>163</v>
      </c>
      <c r="B139" s="2">
        <v>45683</v>
      </c>
      <c r="C139" s="1" t="s">
        <v>28</v>
      </c>
      <c r="D139" s="1" t="s">
        <v>13</v>
      </c>
      <c r="E139" s="1" t="s">
        <v>14</v>
      </c>
      <c r="F139" s="1">
        <v>252</v>
      </c>
      <c r="G139" s="1">
        <v>15.87</v>
      </c>
      <c r="H139" s="1">
        <v>3999.24</v>
      </c>
      <c r="I139" s="1">
        <v>2832.68</v>
      </c>
      <c r="J139" s="1">
        <v>1166.56</v>
      </c>
      <c r="K139" s="8" t="str">
        <f t="shared" si="2"/>
        <v>Jan</v>
      </c>
    </row>
    <row r="140" spans="1:11">
      <c r="A140" s="1" t="s">
        <v>164</v>
      </c>
      <c r="B140" s="2">
        <v>45844</v>
      </c>
      <c r="C140" s="1" t="s">
        <v>36</v>
      </c>
      <c r="D140" s="1" t="s">
        <v>17</v>
      </c>
      <c r="E140" s="1" t="s">
        <v>26</v>
      </c>
      <c r="F140" s="1">
        <v>252</v>
      </c>
      <c r="G140" s="1">
        <v>10.91</v>
      </c>
      <c r="H140" s="1">
        <v>2749.32</v>
      </c>
      <c r="I140" s="1">
        <v>1875.48</v>
      </c>
      <c r="J140" s="1">
        <v>873.84</v>
      </c>
      <c r="K140" s="8" t="str">
        <f t="shared" si="2"/>
        <v>Jul</v>
      </c>
    </row>
    <row r="141" spans="1:11">
      <c r="A141" s="1" t="s">
        <v>165</v>
      </c>
      <c r="B141" s="2">
        <v>45850</v>
      </c>
      <c r="C141" s="1" t="s">
        <v>16</v>
      </c>
      <c r="D141" s="1" t="s">
        <v>17</v>
      </c>
      <c r="E141" s="1" t="s">
        <v>20</v>
      </c>
      <c r="F141" s="1">
        <v>27</v>
      </c>
      <c r="G141" s="1">
        <v>23.92</v>
      </c>
      <c r="H141" s="1">
        <v>645.84</v>
      </c>
      <c r="I141" s="1">
        <v>491.27</v>
      </c>
      <c r="J141" s="1">
        <v>154.57</v>
      </c>
      <c r="K141" s="8" t="str">
        <f t="shared" si="2"/>
        <v>Jul</v>
      </c>
    </row>
    <row r="142" spans="1:11">
      <c r="A142" s="1" t="s">
        <v>166</v>
      </c>
      <c r="B142" s="2">
        <v>45690</v>
      </c>
      <c r="C142" s="1" t="s">
        <v>12</v>
      </c>
      <c r="D142" s="1" t="s">
        <v>13</v>
      </c>
      <c r="E142" s="1" t="s">
        <v>14</v>
      </c>
      <c r="F142" s="1">
        <v>183</v>
      </c>
      <c r="G142" s="1">
        <v>20.89</v>
      </c>
      <c r="H142" s="1">
        <v>3822.87</v>
      </c>
      <c r="I142" s="1">
        <v>2549.83</v>
      </c>
      <c r="J142" s="1">
        <v>1273.04</v>
      </c>
      <c r="K142" s="8" t="str">
        <f t="shared" si="2"/>
        <v>Feb</v>
      </c>
    </row>
    <row r="143" spans="1:11">
      <c r="A143" s="1" t="s">
        <v>167</v>
      </c>
      <c r="B143" s="2">
        <v>46011</v>
      </c>
      <c r="C143" s="1" t="s">
        <v>36</v>
      </c>
      <c r="D143" s="1" t="s">
        <v>29</v>
      </c>
      <c r="E143" s="1" t="s">
        <v>33</v>
      </c>
      <c r="F143" s="1">
        <v>172</v>
      </c>
      <c r="G143" s="1">
        <v>37.729999999999997</v>
      </c>
      <c r="H143" s="1">
        <v>6489.56</v>
      </c>
      <c r="I143" s="1">
        <v>4279.74</v>
      </c>
      <c r="J143" s="1">
        <v>2209.8200000000002</v>
      </c>
      <c r="K143" s="8" t="str">
        <f t="shared" si="2"/>
        <v>Dec</v>
      </c>
    </row>
    <row r="144" spans="1:11">
      <c r="A144" s="1" t="s">
        <v>168</v>
      </c>
      <c r="B144" s="2">
        <v>45691</v>
      </c>
      <c r="C144" s="1" t="s">
        <v>36</v>
      </c>
      <c r="D144" s="1" t="s">
        <v>17</v>
      </c>
      <c r="E144" s="1" t="s">
        <v>18</v>
      </c>
      <c r="F144" s="1">
        <v>22</v>
      </c>
      <c r="G144" s="1">
        <v>34.78</v>
      </c>
      <c r="H144" s="1">
        <v>765.16</v>
      </c>
      <c r="I144" s="1">
        <v>475.51</v>
      </c>
      <c r="J144" s="1">
        <v>289.64999999999998</v>
      </c>
      <c r="K144" s="8" t="str">
        <f t="shared" si="2"/>
        <v>Feb</v>
      </c>
    </row>
    <row r="145" spans="1:11">
      <c r="A145" s="1" t="s">
        <v>169</v>
      </c>
      <c r="B145" s="2">
        <v>45786</v>
      </c>
      <c r="C145" s="1" t="s">
        <v>28</v>
      </c>
      <c r="D145" s="1" t="s">
        <v>13</v>
      </c>
      <c r="E145" s="1" t="s">
        <v>26</v>
      </c>
      <c r="F145" s="1">
        <v>230</v>
      </c>
      <c r="G145" s="1">
        <v>34.44</v>
      </c>
      <c r="H145" s="1">
        <v>7921.2</v>
      </c>
      <c r="I145" s="1">
        <v>4962.96</v>
      </c>
      <c r="J145" s="1">
        <v>2958.24</v>
      </c>
      <c r="K145" s="8" t="str">
        <f t="shared" si="2"/>
        <v>May</v>
      </c>
    </row>
    <row r="146" spans="1:11">
      <c r="A146" s="1" t="s">
        <v>170</v>
      </c>
      <c r="B146" s="2">
        <v>45813</v>
      </c>
      <c r="C146" s="1" t="s">
        <v>31</v>
      </c>
      <c r="D146" s="1" t="s">
        <v>17</v>
      </c>
      <c r="E146" s="1" t="s">
        <v>14</v>
      </c>
      <c r="F146" s="1">
        <v>87</v>
      </c>
      <c r="G146" s="1">
        <v>28.22</v>
      </c>
      <c r="H146" s="1">
        <v>2455.14</v>
      </c>
      <c r="I146" s="1">
        <v>1634.04</v>
      </c>
      <c r="J146" s="1">
        <v>821.1</v>
      </c>
      <c r="K146" s="8" t="str">
        <f t="shared" si="2"/>
        <v>Jun</v>
      </c>
    </row>
    <row r="147" spans="1:11">
      <c r="A147" s="1" t="s">
        <v>171</v>
      </c>
      <c r="B147" s="2">
        <v>45963</v>
      </c>
      <c r="C147" s="1" t="s">
        <v>22</v>
      </c>
      <c r="D147" s="1" t="s">
        <v>13</v>
      </c>
      <c r="E147" s="1" t="s">
        <v>18</v>
      </c>
      <c r="F147" s="1">
        <v>50</v>
      </c>
      <c r="G147" s="1">
        <v>25.36</v>
      </c>
      <c r="H147" s="1">
        <v>1268</v>
      </c>
      <c r="I147" s="1">
        <v>860.13</v>
      </c>
      <c r="J147" s="1">
        <v>407.87</v>
      </c>
      <c r="K147" s="8" t="str">
        <f t="shared" si="2"/>
        <v>Nov</v>
      </c>
    </row>
    <row r="148" spans="1:11">
      <c r="A148" s="1" t="s">
        <v>172</v>
      </c>
      <c r="B148" s="2">
        <v>45691</v>
      </c>
      <c r="C148" s="1" t="s">
        <v>22</v>
      </c>
      <c r="D148" s="1" t="s">
        <v>17</v>
      </c>
      <c r="E148" s="1" t="s">
        <v>26</v>
      </c>
      <c r="F148" s="1">
        <v>27</v>
      </c>
      <c r="G148" s="1">
        <v>24.45</v>
      </c>
      <c r="H148" s="1">
        <v>660.15</v>
      </c>
      <c r="I148" s="1">
        <v>468</v>
      </c>
      <c r="J148" s="1">
        <v>192.15</v>
      </c>
      <c r="K148" s="8" t="str">
        <f t="shared" si="2"/>
        <v>Feb</v>
      </c>
    </row>
    <row r="149" spans="1:11">
      <c r="A149" s="1" t="s">
        <v>173</v>
      </c>
      <c r="B149" s="2">
        <v>45694</v>
      </c>
      <c r="C149" s="1" t="s">
        <v>28</v>
      </c>
      <c r="D149" s="1" t="s">
        <v>17</v>
      </c>
      <c r="E149" s="1" t="s">
        <v>33</v>
      </c>
      <c r="F149" s="1">
        <v>145</v>
      </c>
      <c r="G149" s="1">
        <v>28.74</v>
      </c>
      <c r="H149" s="1">
        <v>4167.3</v>
      </c>
      <c r="I149" s="1">
        <v>2674.02</v>
      </c>
      <c r="J149" s="1">
        <v>1493.28</v>
      </c>
      <c r="K149" s="8" t="str">
        <f t="shared" si="2"/>
        <v>Feb</v>
      </c>
    </row>
    <row r="150" spans="1:11">
      <c r="A150" s="1" t="s">
        <v>174</v>
      </c>
      <c r="B150" s="2">
        <v>45886</v>
      </c>
      <c r="C150" s="1" t="s">
        <v>12</v>
      </c>
      <c r="D150" s="1" t="s">
        <v>29</v>
      </c>
      <c r="E150" s="1" t="s">
        <v>20</v>
      </c>
      <c r="F150" s="1">
        <v>98</v>
      </c>
      <c r="G150" s="1">
        <v>17.03</v>
      </c>
      <c r="H150" s="1">
        <v>1668.94</v>
      </c>
      <c r="I150" s="1">
        <v>1140.5</v>
      </c>
      <c r="J150" s="1">
        <v>528.44000000000005</v>
      </c>
      <c r="K150" s="8" t="str">
        <f t="shared" si="2"/>
        <v>Aug</v>
      </c>
    </row>
    <row r="151" spans="1:11">
      <c r="A151" s="1" t="s">
        <v>175</v>
      </c>
      <c r="B151" s="2">
        <v>45933</v>
      </c>
      <c r="C151" s="1" t="s">
        <v>31</v>
      </c>
      <c r="D151" s="1" t="s">
        <v>29</v>
      </c>
      <c r="E151" s="1" t="s">
        <v>14</v>
      </c>
      <c r="F151" s="1">
        <v>72</v>
      </c>
      <c r="G151" s="1">
        <v>33.39</v>
      </c>
      <c r="H151" s="1">
        <v>2404.08</v>
      </c>
      <c r="I151" s="1">
        <v>1583.77</v>
      </c>
      <c r="J151" s="1">
        <v>820.31</v>
      </c>
      <c r="K151" s="8" t="str">
        <f t="shared" si="2"/>
        <v>Oct</v>
      </c>
    </row>
    <row r="152" spans="1:11">
      <c r="A152" s="1" t="s">
        <v>176</v>
      </c>
      <c r="B152" s="2">
        <v>45848</v>
      </c>
      <c r="C152" s="1" t="s">
        <v>22</v>
      </c>
      <c r="D152" s="1" t="s">
        <v>13</v>
      </c>
      <c r="E152" s="1" t="s">
        <v>20</v>
      </c>
      <c r="F152" s="1">
        <v>140</v>
      </c>
      <c r="G152" s="1">
        <v>32.14</v>
      </c>
      <c r="H152" s="1">
        <v>4499.6000000000004</v>
      </c>
      <c r="I152" s="1">
        <v>2879.02</v>
      </c>
      <c r="J152" s="1">
        <v>1620.58</v>
      </c>
      <c r="K152" s="8" t="str">
        <f t="shared" si="2"/>
        <v>Jul</v>
      </c>
    </row>
    <row r="153" spans="1:11">
      <c r="A153" s="1" t="s">
        <v>177</v>
      </c>
      <c r="B153" s="2">
        <v>45778</v>
      </c>
      <c r="C153" s="1" t="s">
        <v>22</v>
      </c>
      <c r="D153" s="1" t="s">
        <v>17</v>
      </c>
      <c r="E153" s="1" t="s">
        <v>26</v>
      </c>
      <c r="F153" s="1">
        <v>88</v>
      </c>
      <c r="G153" s="1">
        <v>18.440000000000001</v>
      </c>
      <c r="H153" s="1">
        <v>1622.72</v>
      </c>
      <c r="I153" s="1">
        <v>1268.18</v>
      </c>
      <c r="J153" s="1">
        <v>354.54</v>
      </c>
      <c r="K153" s="8" t="str">
        <f t="shared" si="2"/>
        <v>May</v>
      </c>
    </row>
    <row r="154" spans="1:11">
      <c r="A154" s="1" t="s">
        <v>178</v>
      </c>
      <c r="B154" s="2">
        <v>45860</v>
      </c>
      <c r="C154" s="1" t="s">
        <v>22</v>
      </c>
      <c r="D154" s="1" t="s">
        <v>29</v>
      </c>
      <c r="E154" s="1" t="s">
        <v>26</v>
      </c>
      <c r="F154" s="1">
        <v>138</v>
      </c>
      <c r="G154" s="1">
        <v>39.770000000000003</v>
      </c>
      <c r="H154" s="1">
        <v>5488.26</v>
      </c>
      <c r="I154" s="1">
        <v>3849.82</v>
      </c>
      <c r="J154" s="1">
        <v>1638.44</v>
      </c>
      <c r="K154" s="8" t="str">
        <f t="shared" si="2"/>
        <v>Jul</v>
      </c>
    </row>
    <row r="155" spans="1:11">
      <c r="A155" s="1" t="s">
        <v>179</v>
      </c>
      <c r="B155" s="2">
        <v>45992</v>
      </c>
      <c r="C155" s="1" t="s">
        <v>28</v>
      </c>
      <c r="D155" s="1" t="s">
        <v>13</v>
      </c>
      <c r="E155" s="1" t="s">
        <v>18</v>
      </c>
      <c r="F155" s="1">
        <v>247</v>
      </c>
      <c r="G155" s="1">
        <v>39.729999999999997</v>
      </c>
      <c r="H155" s="1">
        <v>9813.31</v>
      </c>
      <c r="I155" s="1">
        <v>6088.83</v>
      </c>
      <c r="J155" s="1">
        <v>3724.48</v>
      </c>
      <c r="K155" s="8" t="str">
        <f t="shared" si="2"/>
        <v>Dec</v>
      </c>
    </row>
    <row r="156" spans="1:11">
      <c r="A156" s="1" t="s">
        <v>180</v>
      </c>
      <c r="B156" s="2">
        <v>45849</v>
      </c>
      <c r="C156" s="1" t="s">
        <v>16</v>
      </c>
      <c r="D156" s="1" t="s">
        <v>13</v>
      </c>
      <c r="E156" s="1" t="s">
        <v>23</v>
      </c>
      <c r="F156" s="1">
        <v>30</v>
      </c>
      <c r="G156" s="1">
        <v>36.31</v>
      </c>
      <c r="H156" s="1">
        <v>1089.3</v>
      </c>
      <c r="I156" s="1">
        <v>704.32</v>
      </c>
      <c r="J156" s="1">
        <v>384.98</v>
      </c>
      <c r="K156" s="8" t="str">
        <f t="shared" si="2"/>
        <v>Jul</v>
      </c>
    </row>
    <row r="157" spans="1:11">
      <c r="A157" s="1" t="s">
        <v>181</v>
      </c>
      <c r="B157" s="2">
        <v>45956</v>
      </c>
      <c r="C157" s="1" t="s">
        <v>22</v>
      </c>
      <c r="D157" s="1" t="s">
        <v>17</v>
      </c>
      <c r="E157" s="1" t="s">
        <v>23</v>
      </c>
      <c r="F157" s="1">
        <v>109</v>
      </c>
      <c r="G157" s="1">
        <v>37.909999999999997</v>
      </c>
      <c r="H157" s="1">
        <v>4132.1899999999996</v>
      </c>
      <c r="I157" s="1">
        <v>2786.94</v>
      </c>
      <c r="J157" s="1">
        <v>1345.25</v>
      </c>
      <c r="K157" s="8" t="str">
        <f t="shared" si="2"/>
        <v>Oct</v>
      </c>
    </row>
    <row r="158" spans="1:11">
      <c r="A158" s="1" t="s">
        <v>182</v>
      </c>
      <c r="B158" s="2">
        <v>45791</v>
      </c>
      <c r="C158" s="1" t="s">
        <v>12</v>
      </c>
      <c r="D158" s="1" t="s">
        <v>17</v>
      </c>
      <c r="E158" s="1" t="s">
        <v>20</v>
      </c>
      <c r="F158" s="1">
        <v>13</v>
      </c>
      <c r="G158" s="1">
        <v>13.17</v>
      </c>
      <c r="H158" s="1">
        <v>171.21</v>
      </c>
      <c r="I158" s="1">
        <v>123.14</v>
      </c>
      <c r="J158" s="1">
        <v>48.07</v>
      </c>
      <c r="K158" s="8" t="str">
        <f t="shared" si="2"/>
        <v>May</v>
      </c>
    </row>
    <row r="159" spans="1:11">
      <c r="A159" s="1" t="s">
        <v>183</v>
      </c>
      <c r="B159" s="2">
        <v>45677</v>
      </c>
      <c r="C159" s="1" t="s">
        <v>31</v>
      </c>
      <c r="D159" s="1" t="s">
        <v>13</v>
      </c>
      <c r="E159" s="1" t="s">
        <v>23</v>
      </c>
      <c r="F159" s="1">
        <v>198</v>
      </c>
      <c r="G159" s="1">
        <v>20.2</v>
      </c>
      <c r="H159" s="1">
        <v>3999.6</v>
      </c>
      <c r="I159" s="1">
        <v>2435.09</v>
      </c>
      <c r="J159" s="1">
        <v>1564.51</v>
      </c>
      <c r="K159" s="8" t="str">
        <f t="shared" si="2"/>
        <v>Jan</v>
      </c>
    </row>
    <row r="160" spans="1:11">
      <c r="A160" s="1" t="s">
        <v>184</v>
      </c>
      <c r="B160" s="2">
        <v>45991</v>
      </c>
      <c r="C160" s="1" t="s">
        <v>28</v>
      </c>
      <c r="D160" s="1" t="s">
        <v>29</v>
      </c>
      <c r="E160" s="1" t="s">
        <v>14</v>
      </c>
      <c r="F160" s="1">
        <v>114</v>
      </c>
      <c r="G160" s="1">
        <v>34.44</v>
      </c>
      <c r="H160" s="1">
        <v>3926.16</v>
      </c>
      <c r="I160" s="1">
        <v>2998.67</v>
      </c>
      <c r="J160" s="1">
        <v>927.49</v>
      </c>
      <c r="K160" s="8" t="str">
        <f t="shared" si="2"/>
        <v>Nov</v>
      </c>
    </row>
    <row r="161" spans="1:11">
      <c r="A161" s="1" t="s">
        <v>185</v>
      </c>
      <c r="B161" s="2">
        <v>45752</v>
      </c>
      <c r="C161" s="1" t="s">
        <v>28</v>
      </c>
      <c r="D161" s="1" t="s">
        <v>29</v>
      </c>
      <c r="E161" s="1" t="s">
        <v>18</v>
      </c>
      <c r="F161" s="1">
        <v>169</v>
      </c>
      <c r="G161" s="1">
        <v>12.34</v>
      </c>
      <c r="H161" s="1">
        <v>2085.46</v>
      </c>
      <c r="I161" s="1">
        <v>1264.4000000000001</v>
      </c>
      <c r="J161" s="1">
        <v>821.06</v>
      </c>
      <c r="K161" s="8" t="str">
        <f t="shared" si="2"/>
        <v>Apr</v>
      </c>
    </row>
    <row r="162" spans="1:11">
      <c r="A162" s="1" t="s">
        <v>186</v>
      </c>
      <c r="B162" s="2">
        <v>45690</v>
      </c>
      <c r="C162" s="1" t="s">
        <v>12</v>
      </c>
      <c r="D162" s="1" t="s">
        <v>13</v>
      </c>
      <c r="E162" s="1" t="s">
        <v>33</v>
      </c>
      <c r="F162" s="1">
        <v>218</v>
      </c>
      <c r="G162" s="1">
        <v>13.04</v>
      </c>
      <c r="H162" s="1">
        <v>2842.72</v>
      </c>
      <c r="I162" s="1">
        <v>1930.38</v>
      </c>
      <c r="J162" s="1">
        <v>912.34</v>
      </c>
      <c r="K162" s="8" t="str">
        <f t="shared" si="2"/>
        <v>Feb</v>
      </c>
    </row>
    <row r="163" spans="1:11">
      <c r="A163" s="1" t="s">
        <v>187</v>
      </c>
      <c r="B163" s="2">
        <v>45931</v>
      </c>
      <c r="C163" s="1" t="s">
        <v>31</v>
      </c>
      <c r="D163" s="1" t="s">
        <v>17</v>
      </c>
      <c r="E163" s="1" t="s">
        <v>14</v>
      </c>
      <c r="F163" s="1">
        <v>56</v>
      </c>
      <c r="G163" s="1">
        <v>29.59</v>
      </c>
      <c r="H163" s="1">
        <v>1657.04</v>
      </c>
      <c r="I163" s="1">
        <v>1126.05</v>
      </c>
      <c r="J163" s="1">
        <v>530.99</v>
      </c>
      <c r="K163" s="8" t="str">
        <f t="shared" si="2"/>
        <v>Oct</v>
      </c>
    </row>
    <row r="164" spans="1:11">
      <c r="A164" s="1" t="s">
        <v>188</v>
      </c>
      <c r="B164" s="2">
        <v>45999</v>
      </c>
      <c r="C164" s="1" t="s">
        <v>36</v>
      </c>
      <c r="D164" s="1" t="s">
        <v>29</v>
      </c>
      <c r="E164" s="1" t="s">
        <v>14</v>
      </c>
      <c r="F164" s="1">
        <v>167</v>
      </c>
      <c r="G164" s="1">
        <v>22.54</v>
      </c>
      <c r="H164" s="1">
        <v>3764.18</v>
      </c>
      <c r="I164" s="1">
        <v>2297.17</v>
      </c>
      <c r="J164" s="1">
        <v>1467.01</v>
      </c>
      <c r="K164" s="8" t="str">
        <f t="shared" si="2"/>
        <v>Dec</v>
      </c>
    </row>
    <row r="165" spans="1:11">
      <c r="A165" s="1" t="s">
        <v>189</v>
      </c>
      <c r="B165" s="2">
        <v>45870</v>
      </c>
      <c r="C165" s="1" t="s">
        <v>31</v>
      </c>
      <c r="D165" s="1" t="s">
        <v>29</v>
      </c>
      <c r="E165" s="1" t="s">
        <v>20</v>
      </c>
      <c r="F165" s="1">
        <v>223</v>
      </c>
      <c r="G165" s="1">
        <v>10.55</v>
      </c>
      <c r="H165" s="1">
        <v>2352.65</v>
      </c>
      <c r="I165" s="1">
        <v>1772.33</v>
      </c>
      <c r="J165" s="1">
        <v>580.32000000000005</v>
      </c>
      <c r="K165" s="8" t="str">
        <f t="shared" si="2"/>
        <v>Aug</v>
      </c>
    </row>
    <row r="166" spans="1:11">
      <c r="A166" s="1" t="s">
        <v>190</v>
      </c>
      <c r="B166" s="2">
        <v>45858</v>
      </c>
      <c r="C166" s="1" t="s">
        <v>22</v>
      </c>
      <c r="D166" s="1" t="s">
        <v>17</v>
      </c>
      <c r="E166" s="1" t="s">
        <v>26</v>
      </c>
      <c r="F166" s="1">
        <v>217</v>
      </c>
      <c r="G166" s="1">
        <v>16.11</v>
      </c>
      <c r="H166" s="1">
        <v>3495.87</v>
      </c>
      <c r="I166" s="1">
        <v>2101.63</v>
      </c>
      <c r="J166" s="1">
        <v>1394.24</v>
      </c>
      <c r="K166" s="8" t="str">
        <f t="shared" si="2"/>
        <v>Jul</v>
      </c>
    </row>
    <row r="167" spans="1:11">
      <c r="A167" s="1" t="s">
        <v>191</v>
      </c>
      <c r="B167" s="2">
        <v>45704</v>
      </c>
      <c r="C167" s="1" t="s">
        <v>22</v>
      </c>
      <c r="D167" s="1" t="s">
        <v>13</v>
      </c>
      <c r="E167" s="1" t="s">
        <v>26</v>
      </c>
      <c r="F167" s="1">
        <v>217</v>
      </c>
      <c r="G167" s="1">
        <v>27.33</v>
      </c>
      <c r="H167" s="1">
        <v>5930.61</v>
      </c>
      <c r="I167" s="1">
        <v>3990.98</v>
      </c>
      <c r="J167" s="1">
        <v>1939.63</v>
      </c>
      <c r="K167" s="8" t="str">
        <f t="shared" si="2"/>
        <v>Feb</v>
      </c>
    </row>
    <row r="168" spans="1:11">
      <c r="A168" s="1" t="s">
        <v>192</v>
      </c>
      <c r="B168" s="2">
        <v>45684</v>
      </c>
      <c r="C168" s="1" t="s">
        <v>28</v>
      </c>
      <c r="D168" s="1" t="s">
        <v>13</v>
      </c>
      <c r="E168" s="1" t="s">
        <v>23</v>
      </c>
      <c r="F168" s="1">
        <v>292</v>
      </c>
      <c r="G168" s="1">
        <v>14.27</v>
      </c>
      <c r="H168" s="1">
        <v>4166.84</v>
      </c>
      <c r="I168" s="1">
        <v>3172.19</v>
      </c>
      <c r="J168" s="1">
        <v>994.65</v>
      </c>
      <c r="K168" s="8" t="str">
        <f t="shared" si="2"/>
        <v>Jan</v>
      </c>
    </row>
    <row r="169" spans="1:11">
      <c r="A169" s="1" t="s">
        <v>193</v>
      </c>
      <c r="B169" s="2">
        <v>45976</v>
      </c>
      <c r="C169" s="1" t="s">
        <v>31</v>
      </c>
      <c r="D169" s="1" t="s">
        <v>17</v>
      </c>
      <c r="E169" s="1" t="s">
        <v>20</v>
      </c>
      <c r="F169" s="1">
        <v>199</v>
      </c>
      <c r="G169" s="1">
        <v>32.119999999999997</v>
      </c>
      <c r="H169" s="1">
        <v>6391.88</v>
      </c>
      <c r="I169" s="1">
        <v>4054.61</v>
      </c>
      <c r="J169" s="1">
        <v>2337.27</v>
      </c>
      <c r="K169" s="8" t="str">
        <f t="shared" si="2"/>
        <v>Nov</v>
      </c>
    </row>
    <row r="170" spans="1:11">
      <c r="A170" s="1" t="s">
        <v>194</v>
      </c>
      <c r="B170" s="2">
        <v>45924</v>
      </c>
      <c r="C170" s="1" t="s">
        <v>28</v>
      </c>
      <c r="D170" s="1" t="s">
        <v>13</v>
      </c>
      <c r="E170" s="1" t="s">
        <v>14</v>
      </c>
      <c r="F170" s="1">
        <v>97</v>
      </c>
      <c r="G170" s="1">
        <v>37.76</v>
      </c>
      <c r="H170" s="1">
        <v>3662.72</v>
      </c>
      <c r="I170" s="1">
        <v>2277.33</v>
      </c>
      <c r="J170" s="1">
        <v>1385.39</v>
      </c>
      <c r="K170" s="8" t="str">
        <f t="shared" si="2"/>
        <v>Sep</v>
      </c>
    </row>
    <row r="171" spans="1:11">
      <c r="A171" s="1" t="s">
        <v>195</v>
      </c>
      <c r="B171" s="2">
        <v>45722</v>
      </c>
      <c r="C171" s="1" t="s">
        <v>16</v>
      </c>
      <c r="D171" s="1" t="s">
        <v>29</v>
      </c>
      <c r="E171" s="1" t="s">
        <v>33</v>
      </c>
      <c r="F171" s="1">
        <v>32</v>
      </c>
      <c r="G171" s="1">
        <v>39.270000000000003</v>
      </c>
      <c r="H171" s="1">
        <v>1256.6400000000001</v>
      </c>
      <c r="I171" s="1">
        <v>875.31</v>
      </c>
      <c r="J171" s="1">
        <v>381.33</v>
      </c>
      <c r="K171" s="8" t="str">
        <f t="shared" si="2"/>
        <v>Mar</v>
      </c>
    </row>
    <row r="172" spans="1:11">
      <c r="A172" s="1" t="s">
        <v>196</v>
      </c>
      <c r="B172" s="2">
        <v>45856</v>
      </c>
      <c r="C172" s="1" t="s">
        <v>22</v>
      </c>
      <c r="D172" s="1" t="s">
        <v>29</v>
      </c>
      <c r="E172" s="1" t="s">
        <v>20</v>
      </c>
      <c r="F172" s="1">
        <v>54</v>
      </c>
      <c r="G172" s="1">
        <v>37.130000000000003</v>
      </c>
      <c r="H172" s="1">
        <v>2005.02</v>
      </c>
      <c r="I172" s="1">
        <v>1451.77</v>
      </c>
      <c r="J172" s="1">
        <v>553.25</v>
      </c>
      <c r="K172" s="8" t="str">
        <f t="shared" si="2"/>
        <v>Jul</v>
      </c>
    </row>
    <row r="173" spans="1:11">
      <c r="A173" s="1" t="s">
        <v>197</v>
      </c>
      <c r="B173" s="2">
        <v>45975</v>
      </c>
      <c r="C173" s="1" t="s">
        <v>28</v>
      </c>
      <c r="D173" s="1" t="s">
        <v>13</v>
      </c>
      <c r="E173" s="1" t="s">
        <v>23</v>
      </c>
      <c r="F173" s="1">
        <v>217</v>
      </c>
      <c r="G173" s="1">
        <v>28.44</v>
      </c>
      <c r="H173" s="1">
        <v>6171.48</v>
      </c>
      <c r="I173" s="1">
        <v>3944.95</v>
      </c>
      <c r="J173" s="1">
        <v>2226.5300000000002</v>
      </c>
      <c r="K173" s="8" t="str">
        <f t="shared" si="2"/>
        <v>Nov</v>
      </c>
    </row>
    <row r="174" spans="1:11">
      <c r="A174" s="1" t="s">
        <v>198</v>
      </c>
      <c r="B174" s="2">
        <v>45769</v>
      </c>
      <c r="C174" s="1" t="s">
        <v>28</v>
      </c>
      <c r="D174" s="1" t="s">
        <v>17</v>
      </c>
      <c r="E174" s="1" t="s">
        <v>26</v>
      </c>
      <c r="F174" s="1">
        <v>31</v>
      </c>
      <c r="G174" s="1">
        <v>21.99</v>
      </c>
      <c r="H174" s="1">
        <v>681.69</v>
      </c>
      <c r="I174" s="1">
        <v>479.62</v>
      </c>
      <c r="J174" s="1">
        <v>202.07</v>
      </c>
      <c r="K174" s="8" t="str">
        <f t="shared" si="2"/>
        <v>Apr</v>
      </c>
    </row>
    <row r="175" spans="1:11">
      <c r="A175" s="1" t="s">
        <v>199</v>
      </c>
      <c r="B175" s="2">
        <v>45734</v>
      </c>
      <c r="C175" s="1" t="s">
        <v>22</v>
      </c>
      <c r="D175" s="1" t="s">
        <v>13</v>
      </c>
      <c r="E175" s="1" t="s">
        <v>23</v>
      </c>
      <c r="F175" s="1">
        <v>136</v>
      </c>
      <c r="G175" s="1">
        <v>39.119999999999997</v>
      </c>
      <c r="H175" s="1">
        <v>5320.32</v>
      </c>
      <c r="I175" s="1">
        <v>4060.1</v>
      </c>
      <c r="J175" s="1">
        <v>1260.22</v>
      </c>
      <c r="K175" s="8" t="str">
        <f t="shared" si="2"/>
        <v>Mar</v>
      </c>
    </row>
    <row r="176" spans="1:11">
      <c r="A176" s="1" t="s">
        <v>200</v>
      </c>
      <c r="B176" s="2">
        <v>46002</v>
      </c>
      <c r="C176" s="1" t="s">
        <v>28</v>
      </c>
      <c r="D176" s="1" t="s">
        <v>29</v>
      </c>
      <c r="E176" s="1" t="s">
        <v>18</v>
      </c>
      <c r="F176" s="1">
        <v>29</v>
      </c>
      <c r="G176" s="1">
        <v>30.04</v>
      </c>
      <c r="H176" s="1">
        <v>871.16</v>
      </c>
      <c r="I176" s="1">
        <v>579.17999999999995</v>
      </c>
      <c r="J176" s="1">
        <v>291.98</v>
      </c>
      <c r="K176" s="8" t="str">
        <f t="shared" si="2"/>
        <v>Dec</v>
      </c>
    </row>
    <row r="177" spans="1:11">
      <c r="A177" s="1" t="s">
        <v>201</v>
      </c>
      <c r="B177" s="2">
        <v>45939</v>
      </c>
      <c r="C177" s="1" t="s">
        <v>22</v>
      </c>
      <c r="D177" s="1" t="s">
        <v>17</v>
      </c>
      <c r="E177" s="1" t="s">
        <v>18</v>
      </c>
      <c r="F177" s="1">
        <v>166</v>
      </c>
      <c r="G177" s="1">
        <v>29.47</v>
      </c>
      <c r="H177" s="1">
        <v>4892.0200000000004</v>
      </c>
      <c r="I177" s="1">
        <v>3236.77</v>
      </c>
      <c r="J177" s="1">
        <v>1655.25</v>
      </c>
      <c r="K177" s="8" t="str">
        <f t="shared" si="2"/>
        <v>Oct</v>
      </c>
    </row>
    <row r="178" spans="1:11">
      <c r="A178" s="1" t="s">
        <v>202</v>
      </c>
      <c r="B178" s="2">
        <v>45995</v>
      </c>
      <c r="C178" s="1" t="s">
        <v>16</v>
      </c>
      <c r="D178" s="1" t="s">
        <v>13</v>
      </c>
      <c r="E178" s="1" t="s">
        <v>23</v>
      </c>
      <c r="F178" s="1">
        <v>198</v>
      </c>
      <c r="G178" s="1">
        <v>23.4</v>
      </c>
      <c r="H178" s="1">
        <v>4633.2</v>
      </c>
      <c r="I178" s="1">
        <v>3186.12</v>
      </c>
      <c r="J178" s="1">
        <v>1447.08</v>
      </c>
      <c r="K178" s="8" t="str">
        <f t="shared" si="2"/>
        <v>Dec</v>
      </c>
    </row>
    <row r="179" spans="1:11">
      <c r="A179" s="1" t="s">
        <v>203</v>
      </c>
      <c r="B179" s="2">
        <v>45908</v>
      </c>
      <c r="C179" s="1" t="s">
        <v>28</v>
      </c>
      <c r="D179" s="1" t="s">
        <v>13</v>
      </c>
      <c r="E179" s="1" t="s">
        <v>18</v>
      </c>
      <c r="F179" s="1">
        <v>248</v>
      </c>
      <c r="G179" s="1">
        <v>17.059999999999999</v>
      </c>
      <c r="H179" s="1">
        <v>4230.88</v>
      </c>
      <c r="I179" s="1">
        <v>3184.64</v>
      </c>
      <c r="J179" s="1">
        <v>1046.24</v>
      </c>
      <c r="K179" s="8" t="str">
        <f t="shared" si="2"/>
        <v>Sep</v>
      </c>
    </row>
    <row r="180" spans="1:11">
      <c r="A180" s="1" t="s">
        <v>204</v>
      </c>
      <c r="B180" s="2">
        <v>45862</v>
      </c>
      <c r="C180" s="1" t="s">
        <v>31</v>
      </c>
      <c r="D180" s="1" t="s">
        <v>13</v>
      </c>
      <c r="E180" s="1" t="s">
        <v>18</v>
      </c>
      <c r="F180" s="1">
        <v>64</v>
      </c>
      <c r="G180" s="1">
        <v>12.01</v>
      </c>
      <c r="H180" s="1">
        <v>768.64</v>
      </c>
      <c r="I180" s="1">
        <v>516.30999999999995</v>
      </c>
      <c r="J180" s="1">
        <v>252.33</v>
      </c>
      <c r="K180" s="8" t="str">
        <f t="shared" si="2"/>
        <v>Jul</v>
      </c>
    </row>
    <row r="181" spans="1:11">
      <c r="A181" s="1" t="s">
        <v>205</v>
      </c>
      <c r="B181" s="2">
        <v>45916</v>
      </c>
      <c r="C181" s="1" t="s">
        <v>22</v>
      </c>
      <c r="D181" s="1" t="s">
        <v>13</v>
      </c>
      <c r="E181" s="1" t="s">
        <v>33</v>
      </c>
      <c r="F181" s="1">
        <v>271</v>
      </c>
      <c r="G181" s="1">
        <v>29.71</v>
      </c>
      <c r="H181" s="1">
        <v>8051.41</v>
      </c>
      <c r="I181" s="1">
        <v>4896.3100000000004</v>
      </c>
      <c r="J181" s="1">
        <v>3155.1</v>
      </c>
      <c r="K181" s="8" t="str">
        <f t="shared" si="2"/>
        <v>Sep</v>
      </c>
    </row>
    <row r="182" spans="1:11">
      <c r="A182" s="1" t="s">
        <v>206</v>
      </c>
      <c r="B182" s="2">
        <v>45818</v>
      </c>
      <c r="C182" s="1" t="s">
        <v>28</v>
      </c>
      <c r="D182" s="1" t="s">
        <v>29</v>
      </c>
      <c r="E182" s="1" t="s">
        <v>20</v>
      </c>
      <c r="F182" s="1">
        <v>271</v>
      </c>
      <c r="G182" s="1">
        <v>12.4</v>
      </c>
      <c r="H182" s="1">
        <v>3360.4</v>
      </c>
      <c r="I182" s="1">
        <v>2521.6799999999998</v>
      </c>
      <c r="J182" s="1">
        <v>838.72</v>
      </c>
      <c r="K182" s="8" t="str">
        <f t="shared" si="2"/>
        <v>Jun</v>
      </c>
    </row>
    <row r="183" spans="1:11">
      <c r="A183" s="1" t="s">
        <v>207</v>
      </c>
      <c r="B183" s="2">
        <v>45671</v>
      </c>
      <c r="C183" s="1" t="s">
        <v>16</v>
      </c>
      <c r="D183" s="1" t="s">
        <v>13</v>
      </c>
      <c r="E183" s="1" t="s">
        <v>20</v>
      </c>
      <c r="F183" s="1">
        <v>43</v>
      </c>
      <c r="G183" s="1">
        <v>39.880000000000003</v>
      </c>
      <c r="H183" s="1">
        <v>1714.84</v>
      </c>
      <c r="I183" s="1">
        <v>1279.99</v>
      </c>
      <c r="J183" s="1">
        <v>434.85</v>
      </c>
      <c r="K183" s="8" t="str">
        <f t="shared" si="2"/>
        <v>Jan</v>
      </c>
    </row>
    <row r="184" spans="1:11">
      <c r="A184" s="1" t="s">
        <v>208</v>
      </c>
      <c r="B184" s="2">
        <v>45909</v>
      </c>
      <c r="C184" s="1" t="s">
        <v>22</v>
      </c>
      <c r="D184" s="1" t="s">
        <v>29</v>
      </c>
      <c r="E184" s="1" t="s">
        <v>33</v>
      </c>
      <c r="F184" s="1">
        <v>157</v>
      </c>
      <c r="G184" s="1">
        <v>38.700000000000003</v>
      </c>
      <c r="H184" s="1">
        <v>6075.9</v>
      </c>
      <c r="I184" s="1">
        <v>4758.6899999999996</v>
      </c>
      <c r="J184" s="1">
        <v>1317.21</v>
      </c>
      <c r="K184" s="8" t="str">
        <f t="shared" si="2"/>
        <v>Sep</v>
      </c>
    </row>
    <row r="185" spans="1:11">
      <c r="A185" s="1" t="s">
        <v>209</v>
      </c>
      <c r="B185" s="2">
        <v>45771</v>
      </c>
      <c r="C185" s="1" t="s">
        <v>31</v>
      </c>
      <c r="D185" s="1" t="s">
        <v>13</v>
      </c>
      <c r="E185" s="1" t="s">
        <v>14</v>
      </c>
      <c r="F185" s="1">
        <v>43</v>
      </c>
      <c r="G185" s="1">
        <v>34.99</v>
      </c>
      <c r="H185" s="1">
        <v>1504.57</v>
      </c>
      <c r="I185" s="1">
        <v>1086.43</v>
      </c>
      <c r="J185" s="1">
        <v>418.14</v>
      </c>
      <c r="K185" s="8" t="str">
        <f t="shared" si="2"/>
        <v>Apr</v>
      </c>
    </row>
    <row r="186" spans="1:11">
      <c r="A186" s="1" t="s">
        <v>210</v>
      </c>
      <c r="B186" s="2">
        <v>45972</v>
      </c>
      <c r="C186" s="1" t="s">
        <v>31</v>
      </c>
      <c r="D186" s="1" t="s">
        <v>29</v>
      </c>
      <c r="E186" s="1" t="s">
        <v>18</v>
      </c>
      <c r="F186" s="1">
        <v>150</v>
      </c>
      <c r="G186" s="1">
        <v>37.15</v>
      </c>
      <c r="H186" s="1">
        <v>5572.5</v>
      </c>
      <c r="I186" s="1">
        <v>3852.16</v>
      </c>
      <c r="J186" s="1">
        <v>1720.34</v>
      </c>
      <c r="K186" s="8" t="str">
        <f t="shared" si="2"/>
        <v>Nov</v>
      </c>
    </row>
    <row r="187" spans="1:11">
      <c r="A187" s="1" t="s">
        <v>211</v>
      </c>
      <c r="B187" s="2">
        <v>45764</v>
      </c>
      <c r="C187" s="1" t="s">
        <v>31</v>
      </c>
      <c r="D187" s="1" t="s">
        <v>13</v>
      </c>
      <c r="E187" s="1" t="s">
        <v>20</v>
      </c>
      <c r="F187" s="1">
        <v>144</v>
      </c>
      <c r="G187" s="1">
        <v>28.48</v>
      </c>
      <c r="H187" s="1">
        <v>4101.12</v>
      </c>
      <c r="I187" s="1">
        <v>2655.39</v>
      </c>
      <c r="J187" s="1">
        <v>1445.73</v>
      </c>
      <c r="K187" s="8" t="str">
        <f t="shared" si="2"/>
        <v>Apr</v>
      </c>
    </row>
    <row r="188" spans="1:11">
      <c r="A188" s="1" t="s">
        <v>212</v>
      </c>
      <c r="B188" s="2">
        <v>45751</v>
      </c>
      <c r="C188" s="1" t="s">
        <v>36</v>
      </c>
      <c r="D188" s="1" t="s">
        <v>17</v>
      </c>
      <c r="E188" s="1" t="s">
        <v>18</v>
      </c>
      <c r="F188" s="1">
        <v>216</v>
      </c>
      <c r="G188" s="1">
        <v>14.84</v>
      </c>
      <c r="H188" s="1">
        <v>3205.44</v>
      </c>
      <c r="I188" s="1">
        <v>2523.58</v>
      </c>
      <c r="J188" s="1">
        <v>681.86</v>
      </c>
      <c r="K188" s="8" t="str">
        <f t="shared" si="2"/>
        <v>Apr</v>
      </c>
    </row>
    <row r="189" spans="1:11">
      <c r="A189" s="1" t="s">
        <v>213</v>
      </c>
      <c r="B189" s="2">
        <v>45744</v>
      </c>
      <c r="C189" s="1" t="s">
        <v>36</v>
      </c>
      <c r="D189" s="1" t="s">
        <v>17</v>
      </c>
      <c r="E189" s="1" t="s">
        <v>18</v>
      </c>
      <c r="F189" s="1">
        <v>145</v>
      </c>
      <c r="G189" s="1">
        <v>13.45</v>
      </c>
      <c r="H189" s="1">
        <v>1950.25</v>
      </c>
      <c r="I189" s="1">
        <v>1377.16</v>
      </c>
      <c r="J189" s="1">
        <v>573.09</v>
      </c>
      <c r="K189" s="8" t="str">
        <f t="shared" si="2"/>
        <v>Mar</v>
      </c>
    </row>
    <row r="190" spans="1:11">
      <c r="A190" s="1" t="s">
        <v>214</v>
      </c>
      <c r="B190" s="2">
        <v>45942</v>
      </c>
      <c r="C190" s="1" t="s">
        <v>16</v>
      </c>
      <c r="D190" s="1" t="s">
        <v>17</v>
      </c>
      <c r="E190" s="1" t="s">
        <v>23</v>
      </c>
      <c r="F190" s="1">
        <v>276</v>
      </c>
      <c r="G190" s="1">
        <v>27.4</v>
      </c>
      <c r="H190" s="1">
        <v>7562.4</v>
      </c>
      <c r="I190" s="1">
        <v>5872.26</v>
      </c>
      <c r="J190" s="1">
        <v>1690.14</v>
      </c>
      <c r="K190" s="8" t="str">
        <f t="shared" si="2"/>
        <v>Oct</v>
      </c>
    </row>
    <row r="191" spans="1:11">
      <c r="A191" s="1" t="s">
        <v>215</v>
      </c>
      <c r="B191" s="2">
        <v>45980</v>
      </c>
      <c r="C191" s="1" t="s">
        <v>28</v>
      </c>
      <c r="D191" s="1" t="s">
        <v>17</v>
      </c>
      <c r="E191" s="1" t="s">
        <v>23</v>
      </c>
      <c r="F191" s="1">
        <v>211</v>
      </c>
      <c r="G191" s="1">
        <v>32.14</v>
      </c>
      <c r="H191" s="1">
        <v>6781.54</v>
      </c>
      <c r="I191" s="1">
        <v>4572.75</v>
      </c>
      <c r="J191" s="1">
        <v>2208.79</v>
      </c>
      <c r="K191" s="8" t="str">
        <f t="shared" si="2"/>
        <v>Nov</v>
      </c>
    </row>
    <row r="192" spans="1:11">
      <c r="A192" s="1" t="s">
        <v>216</v>
      </c>
      <c r="B192" s="2">
        <v>45732</v>
      </c>
      <c r="C192" s="1" t="s">
        <v>22</v>
      </c>
      <c r="D192" s="1" t="s">
        <v>13</v>
      </c>
      <c r="E192" s="1" t="s">
        <v>23</v>
      </c>
      <c r="F192" s="1">
        <v>194</v>
      </c>
      <c r="G192" s="1">
        <v>19.920000000000002</v>
      </c>
      <c r="H192" s="1">
        <v>3864.48</v>
      </c>
      <c r="I192" s="1">
        <v>2381.59</v>
      </c>
      <c r="J192" s="1">
        <v>1482.89</v>
      </c>
      <c r="K192" s="8" t="str">
        <f t="shared" si="2"/>
        <v>Mar</v>
      </c>
    </row>
    <row r="193" spans="1:11">
      <c r="A193" s="1" t="s">
        <v>217</v>
      </c>
      <c r="B193" s="2">
        <v>45682</v>
      </c>
      <c r="C193" s="1" t="s">
        <v>36</v>
      </c>
      <c r="D193" s="1" t="s">
        <v>29</v>
      </c>
      <c r="E193" s="1" t="s">
        <v>33</v>
      </c>
      <c r="F193" s="1">
        <v>161</v>
      </c>
      <c r="G193" s="1">
        <v>34.590000000000003</v>
      </c>
      <c r="H193" s="1">
        <v>5568.99</v>
      </c>
      <c r="I193" s="1">
        <v>3623.91</v>
      </c>
      <c r="J193" s="1">
        <v>1945.08</v>
      </c>
      <c r="K193" s="8" t="str">
        <f t="shared" si="2"/>
        <v>Jan</v>
      </c>
    </row>
    <row r="194" spans="1:11">
      <c r="A194" s="1" t="s">
        <v>218</v>
      </c>
      <c r="B194" s="2">
        <v>45818</v>
      </c>
      <c r="C194" s="1" t="s">
        <v>31</v>
      </c>
      <c r="D194" s="1" t="s">
        <v>29</v>
      </c>
      <c r="E194" s="1" t="s">
        <v>33</v>
      </c>
      <c r="F194" s="1">
        <v>10</v>
      </c>
      <c r="G194" s="1">
        <v>32.409999999999997</v>
      </c>
      <c r="H194" s="1">
        <v>324.10000000000002</v>
      </c>
      <c r="I194" s="1">
        <v>208.83</v>
      </c>
      <c r="J194" s="1">
        <v>115.27</v>
      </c>
      <c r="K194" s="8" t="str">
        <f t="shared" ref="K194:K257" si="3">TEXT(B194,"mmm")</f>
        <v>Jun</v>
      </c>
    </row>
    <row r="195" spans="1:11">
      <c r="A195" s="1" t="s">
        <v>219</v>
      </c>
      <c r="B195" s="2">
        <v>45879</v>
      </c>
      <c r="C195" s="1" t="s">
        <v>22</v>
      </c>
      <c r="D195" s="1" t="s">
        <v>17</v>
      </c>
      <c r="E195" s="1" t="s">
        <v>20</v>
      </c>
      <c r="F195" s="1">
        <v>223</v>
      </c>
      <c r="G195" s="1">
        <v>25.38</v>
      </c>
      <c r="H195" s="1">
        <v>5659.74</v>
      </c>
      <c r="I195" s="1">
        <v>4409.55</v>
      </c>
      <c r="J195" s="1">
        <v>1250.19</v>
      </c>
      <c r="K195" s="8" t="str">
        <f t="shared" si="3"/>
        <v>Aug</v>
      </c>
    </row>
    <row r="196" spans="1:11">
      <c r="A196" s="1" t="s">
        <v>220</v>
      </c>
      <c r="B196" s="2">
        <v>45971</v>
      </c>
      <c r="C196" s="1" t="s">
        <v>31</v>
      </c>
      <c r="D196" s="1" t="s">
        <v>17</v>
      </c>
      <c r="E196" s="1" t="s">
        <v>26</v>
      </c>
      <c r="F196" s="1">
        <v>33</v>
      </c>
      <c r="G196" s="1">
        <v>10.67</v>
      </c>
      <c r="H196" s="1">
        <v>352.11</v>
      </c>
      <c r="I196" s="1">
        <v>211.45</v>
      </c>
      <c r="J196" s="1">
        <v>140.66</v>
      </c>
      <c r="K196" s="8" t="str">
        <f t="shared" si="3"/>
        <v>Nov</v>
      </c>
    </row>
    <row r="197" spans="1:11">
      <c r="A197" s="1" t="s">
        <v>221</v>
      </c>
      <c r="B197" s="2">
        <v>45925</v>
      </c>
      <c r="C197" s="1" t="s">
        <v>31</v>
      </c>
      <c r="D197" s="1" t="s">
        <v>29</v>
      </c>
      <c r="E197" s="1" t="s">
        <v>20</v>
      </c>
      <c r="F197" s="1">
        <v>192</v>
      </c>
      <c r="G197" s="1">
        <v>26.02</v>
      </c>
      <c r="H197" s="1">
        <v>4995.84</v>
      </c>
      <c r="I197" s="1">
        <v>3410.4</v>
      </c>
      <c r="J197" s="1">
        <v>1585.44</v>
      </c>
      <c r="K197" s="8" t="str">
        <f t="shared" si="3"/>
        <v>Sep</v>
      </c>
    </row>
    <row r="198" spans="1:11">
      <c r="A198" s="1" t="s">
        <v>222</v>
      </c>
      <c r="B198" s="2">
        <v>45762</v>
      </c>
      <c r="C198" s="1" t="s">
        <v>22</v>
      </c>
      <c r="D198" s="1" t="s">
        <v>13</v>
      </c>
      <c r="E198" s="1" t="s">
        <v>20</v>
      </c>
      <c r="F198" s="1">
        <v>197</v>
      </c>
      <c r="G198" s="1">
        <v>28.72</v>
      </c>
      <c r="H198" s="1">
        <v>5657.84</v>
      </c>
      <c r="I198" s="1">
        <v>3932.09</v>
      </c>
      <c r="J198" s="1">
        <v>1725.75</v>
      </c>
      <c r="K198" s="8" t="str">
        <f t="shared" si="3"/>
        <v>Apr</v>
      </c>
    </row>
    <row r="199" spans="1:11">
      <c r="A199" s="1" t="s">
        <v>223</v>
      </c>
      <c r="B199" s="2">
        <v>46020</v>
      </c>
      <c r="C199" s="1" t="s">
        <v>22</v>
      </c>
      <c r="D199" s="1" t="s">
        <v>29</v>
      </c>
      <c r="E199" s="1" t="s">
        <v>14</v>
      </c>
      <c r="F199" s="1">
        <v>86</v>
      </c>
      <c r="G199" s="1">
        <v>23.53</v>
      </c>
      <c r="H199" s="1">
        <v>2023.58</v>
      </c>
      <c r="I199" s="1">
        <v>1239.92</v>
      </c>
      <c r="J199" s="1">
        <v>783.66</v>
      </c>
      <c r="K199" s="8" t="str">
        <f t="shared" si="3"/>
        <v>Dec</v>
      </c>
    </row>
    <row r="200" spans="1:11">
      <c r="A200" s="1" t="s">
        <v>224</v>
      </c>
      <c r="B200" s="2">
        <v>45863</v>
      </c>
      <c r="C200" s="1" t="s">
        <v>12</v>
      </c>
      <c r="D200" s="1" t="s">
        <v>17</v>
      </c>
      <c r="E200" s="1" t="s">
        <v>23</v>
      </c>
      <c r="F200" s="1">
        <v>145</v>
      </c>
      <c r="G200" s="1">
        <v>39.01</v>
      </c>
      <c r="H200" s="1">
        <v>5656.45</v>
      </c>
      <c r="I200" s="1">
        <v>3457.37</v>
      </c>
      <c r="J200" s="1">
        <v>2199.08</v>
      </c>
      <c r="K200" s="8" t="str">
        <f t="shared" si="3"/>
        <v>Jul</v>
      </c>
    </row>
    <row r="201" spans="1:11">
      <c r="A201" s="1" t="s">
        <v>225</v>
      </c>
      <c r="B201" s="2">
        <v>45988</v>
      </c>
      <c r="C201" s="1" t="s">
        <v>28</v>
      </c>
      <c r="D201" s="1" t="s">
        <v>13</v>
      </c>
      <c r="E201" s="1" t="s">
        <v>20</v>
      </c>
      <c r="F201" s="1">
        <v>237</v>
      </c>
      <c r="G201" s="1">
        <v>28.06</v>
      </c>
      <c r="H201" s="1">
        <v>6650.22</v>
      </c>
      <c r="I201" s="1">
        <v>4678.54</v>
      </c>
      <c r="J201" s="1">
        <v>1971.68</v>
      </c>
      <c r="K201" s="8" t="str">
        <f t="shared" si="3"/>
        <v>Nov</v>
      </c>
    </row>
    <row r="202" spans="1:11">
      <c r="A202" s="1" t="s">
        <v>226</v>
      </c>
      <c r="B202" s="2">
        <v>45658</v>
      </c>
      <c r="C202" s="1" t="s">
        <v>22</v>
      </c>
      <c r="D202" s="1" t="s">
        <v>13</v>
      </c>
      <c r="E202" s="1" t="s">
        <v>20</v>
      </c>
      <c r="F202" s="1">
        <v>32</v>
      </c>
      <c r="G202" s="1">
        <v>11.85</v>
      </c>
      <c r="H202" s="1">
        <v>379.2</v>
      </c>
      <c r="I202" s="1">
        <v>229.43</v>
      </c>
      <c r="J202" s="1">
        <v>149.77000000000001</v>
      </c>
      <c r="K202" s="8" t="str">
        <f t="shared" si="3"/>
        <v>Jan</v>
      </c>
    </row>
    <row r="203" spans="1:11">
      <c r="A203" s="1" t="s">
        <v>227</v>
      </c>
      <c r="B203" s="2">
        <v>45687</v>
      </c>
      <c r="C203" s="1" t="s">
        <v>22</v>
      </c>
      <c r="D203" s="1" t="s">
        <v>13</v>
      </c>
      <c r="E203" s="1" t="s">
        <v>18</v>
      </c>
      <c r="F203" s="1">
        <v>63</v>
      </c>
      <c r="G203" s="1">
        <v>10.37</v>
      </c>
      <c r="H203" s="1">
        <v>653.30999999999995</v>
      </c>
      <c r="I203" s="1">
        <v>463.97</v>
      </c>
      <c r="J203" s="1">
        <v>189.34</v>
      </c>
      <c r="K203" s="8" t="str">
        <f t="shared" si="3"/>
        <v>Jan</v>
      </c>
    </row>
    <row r="204" spans="1:11">
      <c r="A204" s="1" t="s">
        <v>228</v>
      </c>
      <c r="B204" s="2">
        <v>45760</v>
      </c>
      <c r="C204" s="1" t="s">
        <v>36</v>
      </c>
      <c r="D204" s="1" t="s">
        <v>17</v>
      </c>
      <c r="E204" s="1" t="s">
        <v>23</v>
      </c>
      <c r="F204" s="1">
        <v>275</v>
      </c>
      <c r="G204" s="1">
        <v>28.24</v>
      </c>
      <c r="H204" s="1">
        <v>7766</v>
      </c>
      <c r="I204" s="1">
        <v>5446.99</v>
      </c>
      <c r="J204" s="1">
        <v>2319.0100000000002</v>
      </c>
      <c r="K204" s="8" t="str">
        <f t="shared" si="3"/>
        <v>Apr</v>
      </c>
    </row>
    <row r="205" spans="1:11">
      <c r="A205" s="1" t="s">
        <v>229</v>
      </c>
      <c r="B205" s="2">
        <v>45747</v>
      </c>
      <c r="C205" s="1" t="s">
        <v>16</v>
      </c>
      <c r="D205" s="1" t="s">
        <v>29</v>
      </c>
      <c r="E205" s="1" t="s">
        <v>18</v>
      </c>
      <c r="F205" s="1">
        <v>270</v>
      </c>
      <c r="G205" s="1">
        <v>19.28</v>
      </c>
      <c r="H205" s="1">
        <v>5205.6000000000004</v>
      </c>
      <c r="I205" s="1">
        <v>3435.97</v>
      </c>
      <c r="J205" s="1">
        <v>1769.63</v>
      </c>
      <c r="K205" s="8" t="str">
        <f t="shared" si="3"/>
        <v>Mar</v>
      </c>
    </row>
    <row r="206" spans="1:11">
      <c r="A206" s="1" t="s">
        <v>230</v>
      </c>
      <c r="B206" s="2">
        <v>45933</v>
      </c>
      <c r="C206" s="1" t="s">
        <v>28</v>
      </c>
      <c r="D206" s="1" t="s">
        <v>13</v>
      </c>
      <c r="E206" s="1" t="s">
        <v>33</v>
      </c>
      <c r="F206" s="1">
        <v>13</v>
      </c>
      <c r="G206" s="1">
        <v>21.25</v>
      </c>
      <c r="H206" s="1">
        <v>276.25</v>
      </c>
      <c r="I206" s="1">
        <v>189.87</v>
      </c>
      <c r="J206" s="1">
        <v>86.38</v>
      </c>
      <c r="K206" s="8" t="str">
        <f t="shared" si="3"/>
        <v>Oct</v>
      </c>
    </row>
    <row r="207" spans="1:11">
      <c r="A207" s="1" t="s">
        <v>231</v>
      </c>
      <c r="B207" s="2">
        <v>45993</v>
      </c>
      <c r="C207" s="1" t="s">
        <v>31</v>
      </c>
      <c r="D207" s="1" t="s">
        <v>13</v>
      </c>
      <c r="E207" s="1" t="s">
        <v>33</v>
      </c>
      <c r="F207" s="1">
        <v>241</v>
      </c>
      <c r="G207" s="1">
        <v>15.26</v>
      </c>
      <c r="H207" s="1">
        <v>3677.66</v>
      </c>
      <c r="I207" s="1">
        <v>2939.63</v>
      </c>
      <c r="J207" s="1">
        <v>738.03</v>
      </c>
      <c r="K207" s="8" t="str">
        <f t="shared" si="3"/>
        <v>Dec</v>
      </c>
    </row>
    <row r="208" spans="1:11">
      <c r="A208" s="1" t="s">
        <v>232</v>
      </c>
      <c r="B208" s="2">
        <v>45677</v>
      </c>
      <c r="C208" s="1" t="s">
        <v>36</v>
      </c>
      <c r="D208" s="1" t="s">
        <v>17</v>
      </c>
      <c r="E208" s="1" t="s">
        <v>33</v>
      </c>
      <c r="F208" s="1">
        <v>73</v>
      </c>
      <c r="G208" s="1">
        <v>20.07</v>
      </c>
      <c r="H208" s="1">
        <v>1465.11</v>
      </c>
      <c r="I208" s="1">
        <v>1098.73</v>
      </c>
      <c r="J208" s="1">
        <v>366.38</v>
      </c>
      <c r="K208" s="8" t="str">
        <f t="shared" si="3"/>
        <v>Jan</v>
      </c>
    </row>
    <row r="209" spans="1:11">
      <c r="A209" s="1" t="s">
        <v>233</v>
      </c>
      <c r="B209" s="2">
        <v>45684</v>
      </c>
      <c r="C209" s="1" t="s">
        <v>36</v>
      </c>
      <c r="D209" s="1" t="s">
        <v>29</v>
      </c>
      <c r="E209" s="1" t="s">
        <v>14</v>
      </c>
      <c r="F209" s="1">
        <v>146</v>
      </c>
      <c r="G209" s="1">
        <v>29.08</v>
      </c>
      <c r="H209" s="1">
        <v>4245.68</v>
      </c>
      <c r="I209" s="1">
        <v>3124.17</v>
      </c>
      <c r="J209" s="1">
        <v>1121.51</v>
      </c>
      <c r="K209" s="8" t="str">
        <f t="shared" si="3"/>
        <v>Jan</v>
      </c>
    </row>
    <row r="210" spans="1:11">
      <c r="A210" s="1" t="s">
        <v>234</v>
      </c>
      <c r="B210" s="2">
        <v>45809</v>
      </c>
      <c r="C210" s="1" t="s">
        <v>22</v>
      </c>
      <c r="D210" s="1" t="s">
        <v>17</v>
      </c>
      <c r="E210" s="1" t="s">
        <v>20</v>
      </c>
      <c r="F210" s="1">
        <v>121</v>
      </c>
      <c r="G210" s="1">
        <v>12.56</v>
      </c>
      <c r="H210" s="1">
        <v>1519.76</v>
      </c>
      <c r="I210" s="1">
        <v>1066.0899999999999</v>
      </c>
      <c r="J210" s="1">
        <v>453.67</v>
      </c>
      <c r="K210" s="8" t="str">
        <f t="shared" si="3"/>
        <v>Jun</v>
      </c>
    </row>
    <row r="211" spans="1:11">
      <c r="A211" s="1" t="s">
        <v>235</v>
      </c>
      <c r="B211" s="2">
        <v>45761</v>
      </c>
      <c r="C211" s="1" t="s">
        <v>28</v>
      </c>
      <c r="D211" s="1" t="s">
        <v>17</v>
      </c>
      <c r="E211" s="1" t="s">
        <v>23</v>
      </c>
      <c r="F211" s="1">
        <v>91</v>
      </c>
      <c r="G211" s="1">
        <v>32.380000000000003</v>
      </c>
      <c r="H211" s="1">
        <v>2946.58</v>
      </c>
      <c r="I211" s="1">
        <v>1960.58</v>
      </c>
      <c r="J211" s="1">
        <v>986</v>
      </c>
      <c r="K211" s="8" t="str">
        <f t="shared" si="3"/>
        <v>Apr</v>
      </c>
    </row>
    <row r="212" spans="1:11">
      <c r="A212" s="1" t="s">
        <v>236</v>
      </c>
      <c r="B212" s="2">
        <v>45780</v>
      </c>
      <c r="C212" s="1" t="s">
        <v>36</v>
      </c>
      <c r="D212" s="1" t="s">
        <v>29</v>
      </c>
      <c r="E212" s="1" t="s">
        <v>23</v>
      </c>
      <c r="F212" s="1">
        <v>204</v>
      </c>
      <c r="G212" s="1">
        <v>37.229999999999997</v>
      </c>
      <c r="H212" s="1">
        <v>7594.92</v>
      </c>
      <c r="I212" s="1">
        <v>5514.97</v>
      </c>
      <c r="J212" s="1">
        <v>2079.9499999999998</v>
      </c>
      <c r="K212" s="8" t="str">
        <f t="shared" si="3"/>
        <v>May</v>
      </c>
    </row>
    <row r="213" spans="1:11">
      <c r="A213" s="1" t="s">
        <v>237</v>
      </c>
      <c r="B213" s="2">
        <v>45898</v>
      </c>
      <c r="C213" s="1" t="s">
        <v>16</v>
      </c>
      <c r="D213" s="1" t="s">
        <v>17</v>
      </c>
      <c r="E213" s="1" t="s">
        <v>33</v>
      </c>
      <c r="F213" s="1">
        <v>251</v>
      </c>
      <c r="G213" s="1">
        <v>35.19</v>
      </c>
      <c r="H213" s="1">
        <v>8832.69</v>
      </c>
      <c r="I213" s="1">
        <v>6531.98</v>
      </c>
      <c r="J213" s="1">
        <v>2300.71</v>
      </c>
      <c r="K213" s="8" t="str">
        <f t="shared" si="3"/>
        <v>Aug</v>
      </c>
    </row>
    <row r="214" spans="1:11">
      <c r="A214" s="1" t="s">
        <v>238</v>
      </c>
      <c r="B214" s="2">
        <v>45777</v>
      </c>
      <c r="C214" s="1" t="s">
        <v>12</v>
      </c>
      <c r="D214" s="1" t="s">
        <v>13</v>
      </c>
      <c r="E214" s="1" t="s">
        <v>23</v>
      </c>
      <c r="F214" s="1">
        <v>167</v>
      </c>
      <c r="G214" s="1">
        <v>33.68</v>
      </c>
      <c r="H214" s="1">
        <v>5624.56</v>
      </c>
      <c r="I214" s="1">
        <v>3815.21</v>
      </c>
      <c r="J214" s="1">
        <v>1809.35</v>
      </c>
      <c r="K214" s="8" t="str">
        <f t="shared" si="3"/>
        <v>Apr</v>
      </c>
    </row>
    <row r="215" spans="1:11">
      <c r="A215" s="1" t="s">
        <v>239</v>
      </c>
      <c r="B215" s="2">
        <v>45745</v>
      </c>
      <c r="C215" s="1" t="s">
        <v>12</v>
      </c>
      <c r="D215" s="1" t="s">
        <v>13</v>
      </c>
      <c r="E215" s="1" t="s">
        <v>14</v>
      </c>
      <c r="F215" s="1">
        <v>84</v>
      </c>
      <c r="G215" s="1">
        <v>10.99</v>
      </c>
      <c r="H215" s="1">
        <v>923.16</v>
      </c>
      <c r="I215" s="1">
        <v>574.55999999999995</v>
      </c>
      <c r="J215" s="1">
        <v>348.6</v>
      </c>
      <c r="K215" s="8" t="str">
        <f t="shared" si="3"/>
        <v>Mar</v>
      </c>
    </row>
    <row r="216" spans="1:11">
      <c r="A216" s="1" t="s">
        <v>240</v>
      </c>
      <c r="B216" s="2">
        <v>45730</v>
      </c>
      <c r="C216" s="1" t="s">
        <v>36</v>
      </c>
      <c r="D216" s="1" t="s">
        <v>29</v>
      </c>
      <c r="E216" s="1" t="s">
        <v>26</v>
      </c>
      <c r="F216" s="1">
        <v>24</v>
      </c>
      <c r="G216" s="1">
        <v>10.93</v>
      </c>
      <c r="H216" s="1">
        <v>262.32</v>
      </c>
      <c r="I216" s="1">
        <v>164.65</v>
      </c>
      <c r="J216" s="1">
        <v>97.67</v>
      </c>
      <c r="K216" s="8" t="str">
        <f t="shared" si="3"/>
        <v>Mar</v>
      </c>
    </row>
    <row r="217" spans="1:11">
      <c r="A217" s="1" t="s">
        <v>241</v>
      </c>
      <c r="B217" s="2">
        <v>46014</v>
      </c>
      <c r="C217" s="1" t="s">
        <v>12</v>
      </c>
      <c r="D217" s="1" t="s">
        <v>17</v>
      </c>
      <c r="E217" s="1" t="s">
        <v>20</v>
      </c>
      <c r="F217" s="1">
        <v>44</v>
      </c>
      <c r="G217" s="1">
        <v>32.1</v>
      </c>
      <c r="H217" s="1">
        <v>1412.4</v>
      </c>
      <c r="I217" s="1">
        <v>866.02</v>
      </c>
      <c r="J217" s="1">
        <v>546.38</v>
      </c>
      <c r="K217" s="8" t="str">
        <f t="shared" si="3"/>
        <v>Dec</v>
      </c>
    </row>
    <row r="218" spans="1:11">
      <c r="A218" s="1" t="s">
        <v>242</v>
      </c>
      <c r="B218" s="2">
        <v>45931</v>
      </c>
      <c r="C218" s="1" t="s">
        <v>36</v>
      </c>
      <c r="D218" s="1" t="s">
        <v>17</v>
      </c>
      <c r="E218" s="1" t="s">
        <v>26</v>
      </c>
      <c r="F218" s="1">
        <v>43</v>
      </c>
      <c r="G218" s="1">
        <v>36.39</v>
      </c>
      <c r="H218" s="1">
        <v>1564.77</v>
      </c>
      <c r="I218" s="1">
        <v>1175.3800000000001</v>
      </c>
      <c r="J218" s="1">
        <v>389.39</v>
      </c>
      <c r="K218" s="8" t="str">
        <f t="shared" si="3"/>
        <v>Oct</v>
      </c>
    </row>
    <row r="219" spans="1:11">
      <c r="A219" s="1" t="s">
        <v>243</v>
      </c>
      <c r="B219" s="2">
        <v>45784</v>
      </c>
      <c r="C219" s="1" t="s">
        <v>36</v>
      </c>
      <c r="D219" s="1" t="s">
        <v>13</v>
      </c>
      <c r="E219" s="1" t="s">
        <v>33</v>
      </c>
      <c r="F219" s="1">
        <v>115</v>
      </c>
      <c r="G219" s="1">
        <v>16.09</v>
      </c>
      <c r="H219" s="1">
        <v>1850.35</v>
      </c>
      <c r="I219" s="1">
        <v>1122.74</v>
      </c>
      <c r="J219" s="1">
        <v>727.61</v>
      </c>
      <c r="K219" s="8" t="str">
        <f t="shared" si="3"/>
        <v>May</v>
      </c>
    </row>
    <row r="220" spans="1:11">
      <c r="A220" s="1" t="s">
        <v>244</v>
      </c>
      <c r="B220" s="2">
        <v>45981</v>
      </c>
      <c r="C220" s="1" t="s">
        <v>36</v>
      </c>
      <c r="D220" s="1" t="s">
        <v>13</v>
      </c>
      <c r="E220" s="1" t="s">
        <v>14</v>
      </c>
      <c r="F220" s="1">
        <v>157</v>
      </c>
      <c r="G220" s="1">
        <v>24.31</v>
      </c>
      <c r="H220" s="1">
        <v>3816.67</v>
      </c>
      <c r="I220" s="1">
        <v>2391.2600000000002</v>
      </c>
      <c r="J220" s="1">
        <v>1425.41</v>
      </c>
      <c r="K220" s="8" t="str">
        <f t="shared" si="3"/>
        <v>Nov</v>
      </c>
    </row>
    <row r="221" spans="1:11">
      <c r="A221" s="1" t="s">
        <v>245</v>
      </c>
      <c r="B221" s="2">
        <v>45821</v>
      </c>
      <c r="C221" s="1" t="s">
        <v>31</v>
      </c>
      <c r="D221" s="1" t="s">
        <v>17</v>
      </c>
      <c r="E221" s="1" t="s">
        <v>26</v>
      </c>
      <c r="F221" s="1">
        <v>182</v>
      </c>
      <c r="G221" s="1">
        <v>22.71</v>
      </c>
      <c r="H221" s="1">
        <v>4133.22</v>
      </c>
      <c r="I221" s="1">
        <v>2497.2199999999998</v>
      </c>
      <c r="J221" s="1">
        <v>1636</v>
      </c>
      <c r="K221" s="8" t="str">
        <f t="shared" si="3"/>
        <v>Jun</v>
      </c>
    </row>
    <row r="222" spans="1:11">
      <c r="A222" s="1" t="s">
        <v>246</v>
      </c>
      <c r="B222" s="2">
        <v>45846</v>
      </c>
      <c r="C222" s="1" t="s">
        <v>28</v>
      </c>
      <c r="D222" s="1" t="s">
        <v>17</v>
      </c>
      <c r="E222" s="1" t="s">
        <v>23</v>
      </c>
      <c r="F222" s="1">
        <v>174</v>
      </c>
      <c r="G222" s="1">
        <v>33.08</v>
      </c>
      <c r="H222" s="1">
        <v>5755.92</v>
      </c>
      <c r="I222" s="1">
        <v>4146.57</v>
      </c>
      <c r="J222" s="1">
        <v>1609.35</v>
      </c>
      <c r="K222" s="8" t="str">
        <f t="shared" si="3"/>
        <v>Jul</v>
      </c>
    </row>
    <row r="223" spans="1:11">
      <c r="A223" s="1" t="s">
        <v>247</v>
      </c>
      <c r="B223" s="2">
        <v>45673</v>
      </c>
      <c r="C223" s="1" t="s">
        <v>16</v>
      </c>
      <c r="D223" s="1" t="s">
        <v>17</v>
      </c>
      <c r="E223" s="1" t="s">
        <v>18</v>
      </c>
      <c r="F223" s="1">
        <v>221</v>
      </c>
      <c r="G223" s="1">
        <v>10.94</v>
      </c>
      <c r="H223" s="1">
        <v>2417.7399999999998</v>
      </c>
      <c r="I223" s="1">
        <v>1701.42</v>
      </c>
      <c r="J223" s="1">
        <v>716.32</v>
      </c>
      <c r="K223" s="8" t="str">
        <f t="shared" si="3"/>
        <v>Jan</v>
      </c>
    </row>
    <row r="224" spans="1:11">
      <c r="A224" s="1" t="s">
        <v>248</v>
      </c>
      <c r="B224" s="2">
        <v>46018</v>
      </c>
      <c r="C224" s="1" t="s">
        <v>16</v>
      </c>
      <c r="D224" s="1" t="s">
        <v>29</v>
      </c>
      <c r="E224" s="1" t="s">
        <v>14</v>
      </c>
      <c r="F224" s="1">
        <v>34</v>
      </c>
      <c r="G224" s="1">
        <v>26.14</v>
      </c>
      <c r="H224" s="1">
        <v>888.76</v>
      </c>
      <c r="I224" s="1">
        <v>571.75</v>
      </c>
      <c r="J224" s="1">
        <v>317.01</v>
      </c>
      <c r="K224" s="8" t="str">
        <f t="shared" si="3"/>
        <v>Dec</v>
      </c>
    </row>
    <row r="225" spans="1:11">
      <c r="A225" s="1" t="s">
        <v>249</v>
      </c>
      <c r="B225" s="2">
        <v>45745</v>
      </c>
      <c r="C225" s="1" t="s">
        <v>16</v>
      </c>
      <c r="D225" s="1" t="s">
        <v>13</v>
      </c>
      <c r="E225" s="1" t="s">
        <v>14</v>
      </c>
      <c r="F225" s="1">
        <v>233</v>
      </c>
      <c r="G225" s="1">
        <v>10.039999999999999</v>
      </c>
      <c r="H225" s="1">
        <v>2339.3200000000002</v>
      </c>
      <c r="I225" s="1">
        <v>1498.12</v>
      </c>
      <c r="J225" s="1">
        <v>841.2</v>
      </c>
      <c r="K225" s="8" t="str">
        <f t="shared" si="3"/>
        <v>Mar</v>
      </c>
    </row>
    <row r="226" spans="1:11">
      <c r="A226" s="1" t="s">
        <v>250</v>
      </c>
      <c r="B226" s="2">
        <v>45909</v>
      </c>
      <c r="C226" s="1" t="s">
        <v>22</v>
      </c>
      <c r="D226" s="1" t="s">
        <v>17</v>
      </c>
      <c r="E226" s="1" t="s">
        <v>23</v>
      </c>
      <c r="F226" s="1">
        <v>58</v>
      </c>
      <c r="G226" s="1">
        <v>24.74</v>
      </c>
      <c r="H226" s="1">
        <v>1434.92</v>
      </c>
      <c r="I226" s="1">
        <v>1089.6099999999999</v>
      </c>
      <c r="J226" s="1">
        <v>345.31</v>
      </c>
      <c r="K226" s="8" t="str">
        <f t="shared" si="3"/>
        <v>Sep</v>
      </c>
    </row>
    <row r="227" spans="1:11">
      <c r="A227" s="1" t="s">
        <v>251</v>
      </c>
      <c r="B227" s="2">
        <v>45835</v>
      </c>
      <c r="C227" s="1" t="s">
        <v>31</v>
      </c>
      <c r="D227" s="1" t="s">
        <v>13</v>
      </c>
      <c r="E227" s="1" t="s">
        <v>33</v>
      </c>
      <c r="F227" s="1">
        <v>273</v>
      </c>
      <c r="G227" s="1">
        <v>17.82</v>
      </c>
      <c r="H227" s="1">
        <v>4864.8599999999997</v>
      </c>
      <c r="I227" s="1">
        <v>3837.27</v>
      </c>
      <c r="J227" s="1">
        <v>1027.5899999999999</v>
      </c>
      <c r="K227" s="8" t="str">
        <f t="shared" si="3"/>
        <v>Jun</v>
      </c>
    </row>
    <row r="228" spans="1:11">
      <c r="A228" s="1" t="s">
        <v>252</v>
      </c>
      <c r="B228" s="2">
        <v>45776</v>
      </c>
      <c r="C228" s="1" t="s">
        <v>16</v>
      </c>
      <c r="D228" s="1" t="s">
        <v>17</v>
      </c>
      <c r="E228" s="1" t="s">
        <v>33</v>
      </c>
      <c r="F228" s="1">
        <v>265</v>
      </c>
      <c r="G228" s="1">
        <v>14.97</v>
      </c>
      <c r="H228" s="1">
        <v>3967.05</v>
      </c>
      <c r="I228" s="1">
        <v>3125.01</v>
      </c>
      <c r="J228" s="1">
        <v>842.04</v>
      </c>
      <c r="K228" s="8" t="str">
        <f t="shared" si="3"/>
        <v>Apr</v>
      </c>
    </row>
    <row r="229" spans="1:11">
      <c r="A229" s="1" t="s">
        <v>253</v>
      </c>
      <c r="B229" s="2">
        <v>45945</v>
      </c>
      <c r="C229" s="1" t="s">
        <v>28</v>
      </c>
      <c r="D229" s="1" t="s">
        <v>17</v>
      </c>
      <c r="E229" s="1" t="s">
        <v>33</v>
      </c>
      <c r="F229" s="1">
        <v>63</v>
      </c>
      <c r="G229" s="1">
        <v>28.84</v>
      </c>
      <c r="H229" s="1">
        <v>1816.92</v>
      </c>
      <c r="I229" s="1">
        <v>1219.3800000000001</v>
      </c>
      <c r="J229" s="1">
        <v>597.54</v>
      </c>
      <c r="K229" s="8" t="str">
        <f t="shared" si="3"/>
        <v>Oct</v>
      </c>
    </row>
    <row r="230" spans="1:11">
      <c r="A230" s="1" t="s">
        <v>254</v>
      </c>
      <c r="B230" s="2">
        <v>45702</v>
      </c>
      <c r="C230" s="1" t="s">
        <v>22</v>
      </c>
      <c r="D230" s="1" t="s">
        <v>17</v>
      </c>
      <c r="E230" s="1" t="s">
        <v>14</v>
      </c>
      <c r="F230" s="1">
        <v>226</v>
      </c>
      <c r="G230" s="1">
        <v>36.65</v>
      </c>
      <c r="H230" s="1">
        <v>8282.9</v>
      </c>
      <c r="I230" s="1">
        <v>5011.4399999999996</v>
      </c>
      <c r="J230" s="1">
        <v>3271.46</v>
      </c>
      <c r="K230" s="8" t="str">
        <f t="shared" si="3"/>
        <v>Feb</v>
      </c>
    </row>
    <row r="231" spans="1:11">
      <c r="A231" s="1" t="s">
        <v>255</v>
      </c>
      <c r="B231" s="2">
        <v>45877</v>
      </c>
      <c r="C231" s="1" t="s">
        <v>36</v>
      </c>
      <c r="D231" s="1" t="s">
        <v>13</v>
      </c>
      <c r="E231" s="1" t="s">
        <v>18</v>
      </c>
      <c r="F231" s="1">
        <v>289</v>
      </c>
      <c r="G231" s="1">
        <v>25.04</v>
      </c>
      <c r="H231" s="1">
        <v>7236.56</v>
      </c>
      <c r="I231" s="1">
        <v>4890.91</v>
      </c>
      <c r="J231" s="1">
        <v>2345.65</v>
      </c>
      <c r="K231" s="8" t="str">
        <f t="shared" si="3"/>
        <v>Aug</v>
      </c>
    </row>
    <row r="232" spans="1:11">
      <c r="A232" s="1" t="s">
        <v>256</v>
      </c>
      <c r="B232" s="2">
        <v>45722</v>
      </c>
      <c r="C232" s="1" t="s">
        <v>12</v>
      </c>
      <c r="D232" s="1" t="s">
        <v>29</v>
      </c>
      <c r="E232" s="1" t="s">
        <v>26</v>
      </c>
      <c r="F232" s="1">
        <v>282</v>
      </c>
      <c r="G232" s="1">
        <v>27.82</v>
      </c>
      <c r="H232" s="1">
        <v>7845.24</v>
      </c>
      <c r="I232" s="1">
        <v>5788.59</v>
      </c>
      <c r="J232" s="1">
        <v>2056.65</v>
      </c>
      <c r="K232" s="8" t="str">
        <f t="shared" si="3"/>
        <v>Mar</v>
      </c>
    </row>
    <row r="233" spans="1:11">
      <c r="A233" s="1" t="s">
        <v>257</v>
      </c>
      <c r="B233" s="2">
        <v>45836</v>
      </c>
      <c r="C233" s="1" t="s">
        <v>28</v>
      </c>
      <c r="D233" s="1" t="s">
        <v>29</v>
      </c>
      <c r="E233" s="1" t="s">
        <v>23</v>
      </c>
      <c r="F233" s="1">
        <v>177</v>
      </c>
      <c r="G233" s="1">
        <v>25.65</v>
      </c>
      <c r="H233" s="1">
        <v>4540.05</v>
      </c>
      <c r="I233" s="1">
        <v>3512.18</v>
      </c>
      <c r="J233" s="1">
        <v>1027.8699999999999</v>
      </c>
      <c r="K233" s="8" t="str">
        <f t="shared" si="3"/>
        <v>Jun</v>
      </c>
    </row>
    <row r="234" spans="1:11">
      <c r="A234" s="1" t="s">
        <v>258</v>
      </c>
      <c r="B234" s="2">
        <v>45823</v>
      </c>
      <c r="C234" s="1" t="s">
        <v>31</v>
      </c>
      <c r="D234" s="1" t="s">
        <v>29</v>
      </c>
      <c r="E234" s="1" t="s">
        <v>20</v>
      </c>
      <c r="F234" s="1">
        <v>96</v>
      </c>
      <c r="G234" s="1">
        <v>23.89</v>
      </c>
      <c r="H234" s="1">
        <v>2293.44</v>
      </c>
      <c r="I234" s="1">
        <v>1692.13</v>
      </c>
      <c r="J234" s="1">
        <v>601.30999999999995</v>
      </c>
      <c r="K234" s="8" t="str">
        <f t="shared" si="3"/>
        <v>Jun</v>
      </c>
    </row>
    <row r="235" spans="1:11">
      <c r="A235" s="1" t="s">
        <v>259</v>
      </c>
      <c r="B235" s="2">
        <v>45722</v>
      </c>
      <c r="C235" s="1" t="s">
        <v>22</v>
      </c>
      <c r="D235" s="1" t="s">
        <v>29</v>
      </c>
      <c r="E235" s="1" t="s">
        <v>20</v>
      </c>
      <c r="F235" s="1">
        <v>181</v>
      </c>
      <c r="G235" s="1">
        <v>23.86</v>
      </c>
      <c r="H235" s="1">
        <v>4318.66</v>
      </c>
      <c r="I235" s="1">
        <v>3355.71</v>
      </c>
      <c r="J235" s="1">
        <v>962.95</v>
      </c>
      <c r="K235" s="8" t="str">
        <f t="shared" si="3"/>
        <v>Mar</v>
      </c>
    </row>
    <row r="236" spans="1:11">
      <c r="A236" s="1" t="s">
        <v>260</v>
      </c>
      <c r="B236" s="2">
        <v>45794</v>
      </c>
      <c r="C236" s="1" t="s">
        <v>12</v>
      </c>
      <c r="D236" s="1" t="s">
        <v>13</v>
      </c>
      <c r="E236" s="1" t="s">
        <v>33</v>
      </c>
      <c r="F236" s="1">
        <v>164</v>
      </c>
      <c r="G236" s="1">
        <v>32.64</v>
      </c>
      <c r="H236" s="1">
        <v>5352.96</v>
      </c>
      <c r="I236" s="1">
        <v>4096.6499999999996</v>
      </c>
      <c r="J236" s="1">
        <v>1256.31</v>
      </c>
      <c r="K236" s="8" t="str">
        <f t="shared" si="3"/>
        <v>May</v>
      </c>
    </row>
    <row r="237" spans="1:11">
      <c r="A237" s="1" t="s">
        <v>261</v>
      </c>
      <c r="B237" s="2">
        <v>45737</v>
      </c>
      <c r="C237" s="1" t="s">
        <v>31</v>
      </c>
      <c r="D237" s="1" t="s">
        <v>13</v>
      </c>
      <c r="E237" s="1" t="s">
        <v>20</v>
      </c>
      <c r="F237" s="1">
        <v>136</v>
      </c>
      <c r="G237" s="1">
        <v>31.69</v>
      </c>
      <c r="H237" s="1">
        <v>4309.84</v>
      </c>
      <c r="I237" s="1">
        <v>3105.58</v>
      </c>
      <c r="J237" s="1">
        <v>1204.26</v>
      </c>
      <c r="K237" s="8" t="str">
        <f t="shared" si="3"/>
        <v>Mar</v>
      </c>
    </row>
    <row r="238" spans="1:11">
      <c r="A238" s="1" t="s">
        <v>262</v>
      </c>
      <c r="B238" s="2">
        <v>45825</v>
      </c>
      <c r="C238" s="1" t="s">
        <v>16</v>
      </c>
      <c r="D238" s="1" t="s">
        <v>13</v>
      </c>
      <c r="E238" s="1" t="s">
        <v>33</v>
      </c>
      <c r="F238" s="1">
        <v>106</v>
      </c>
      <c r="G238" s="1">
        <v>17.760000000000002</v>
      </c>
      <c r="H238" s="1">
        <v>1882.56</v>
      </c>
      <c r="I238" s="1">
        <v>1489.09</v>
      </c>
      <c r="J238" s="1">
        <v>393.47</v>
      </c>
      <c r="K238" s="8" t="str">
        <f t="shared" si="3"/>
        <v>Jun</v>
      </c>
    </row>
    <row r="239" spans="1:11">
      <c r="A239" s="1" t="s">
        <v>263</v>
      </c>
      <c r="B239" s="2">
        <v>45710</v>
      </c>
      <c r="C239" s="1" t="s">
        <v>31</v>
      </c>
      <c r="D239" s="1" t="s">
        <v>29</v>
      </c>
      <c r="E239" s="1" t="s">
        <v>14</v>
      </c>
      <c r="F239" s="1">
        <v>110</v>
      </c>
      <c r="G239" s="1">
        <v>21.53</v>
      </c>
      <c r="H239" s="1">
        <v>2368.3000000000002</v>
      </c>
      <c r="I239" s="1">
        <v>1886.98</v>
      </c>
      <c r="J239" s="1">
        <v>481.32</v>
      </c>
      <c r="K239" s="8" t="str">
        <f t="shared" si="3"/>
        <v>Feb</v>
      </c>
    </row>
    <row r="240" spans="1:11">
      <c r="A240" s="1" t="s">
        <v>264</v>
      </c>
      <c r="B240" s="2">
        <v>45880</v>
      </c>
      <c r="C240" s="1" t="s">
        <v>16</v>
      </c>
      <c r="D240" s="1" t="s">
        <v>17</v>
      </c>
      <c r="E240" s="1" t="s">
        <v>20</v>
      </c>
      <c r="F240" s="1">
        <v>150</v>
      </c>
      <c r="G240" s="1">
        <v>15.89</v>
      </c>
      <c r="H240" s="1">
        <v>2383.5</v>
      </c>
      <c r="I240" s="1">
        <v>1734.23</v>
      </c>
      <c r="J240" s="1">
        <v>649.27</v>
      </c>
      <c r="K240" s="8" t="str">
        <f t="shared" si="3"/>
        <v>Aug</v>
      </c>
    </row>
    <row r="241" spans="1:11">
      <c r="A241" s="1" t="s">
        <v>265</v>
      </c>
      <c r="B241" s="2">
        <v>45856</v>
      </c>
      <c r="C241" s="1" t="s">
        <v>28</v>
      </c>
      <c r="D241" s="1" t="s">
        <v>29</v>
      </c>
      <c r="E241" s="1" t="s">
        <v>20</v>
      </c>
      <c r="F241" s="1">
        <v>247</v>
      </c>
      <c r="G241" s="1">
        <v>11.02</v>
      </c>
      <c r="H241" s="1">
        <v>2721.94</v>
      </c>
      <c r="I241" s="1">
        <v>1850.39</v>
      </c>
      <c r="J241" s="1">
        <v>871.55</v>
      </c>
      <c r="K241" s="8" t="str">
        <f t="shared" si="3"/>
        <v>Jul</v>
      </c>
    </row>
    <row r="242" spans="1:11">
      <c r="A242" s="1" t="s">
        <v>266</v>
      </c>
      <c r="B242" s="2">
        <v>45914</v>
      </c>
      <c r="C242" s="1" t="s">
        <v>12</v>
      </c>
      <c r="D242" s="1" t="s">
        <v>29</v>
      </c>
      <c r="E242" s="1" t="s">
        <v>18</v>
      </c>
      <c r="F242" s="1">
        <v>161</v>
      </c>
      <c r="G242" s="1">
        <v>23.9</v>
      </c>
      <c r="H242" s="1">
        <v>3847.9</v>
      </c>
      <c r="I242" s="1">
        <v>2417.88</v>
      </c>
      <c r="J242" s="1">
        <v>1430.02</v>
      </c>
      <c r="K242" s="8" t="str">
        <f t="shared" si="3"/>
        <v>Sep</v>
      </c>
    </row>
    <row r="243" spans="1:11">
      <c r="A243" s="1" t="s">
        <v>267</v>
      </c>
      <c r="B243" s="2">
        <v>45660</v>
      </c>
      <c r="C243" s="1" t="s">
        <v>12</v>
      </c>
      <c r="D243" s="1" t="s">
        <v>29</v>
      </c>
      <c r="E243" s="1" t="s">
        <v>33</v>
      </c>
      <c r="F243" s="1">
        <v>134</v>
      </c>
      <c r="G243" s="1">
        <v>37.24</v>
      </c>
      <c r="H243" s="1">
        <v>4990.16</v>
      </c>
      <c r="I243" s="1">
        <v>3423.28</v>
      </c>
      <c r="J243" s="1">
        <v>1566.88</v>
      </c>
      <c r="K243" s="8" t="str">
        <f t="shared" si="3"/>
        <v>Jan</v>
      </c>
    </row>
    <row r="244" spans="1:11">
      <c r="A244" s="1" t="s">
        <v>268</v>
      </c>
      <c r="B244" s="2">
        <v>45989</v>
      </c>
      <c r="C244" s="1" t="s">
        <v>36</v>
      </c>
      <c r="D244" s="1" t="s">
        <v>29</v>
      </c>
      <c r="E244" s="1" t="s">
        <v>33</v>
      </c>
      <c r="F244" s="1">
        <v>225</v>
      </c>
      <c r="G244" s="1">
        <v>35.380000000000003</v>
      </c>
      <c r="H244" s="1">
        <v>7960.5</v>
      </c>
      <c r="I244" s="1">
        <v>5839.66</v>
      </c>
      <c r="J244" s="1">
        <v>2120.84</v>
      </c>
      <c r="K244" s="8" t="str">
        <f t="shared" si="3"/>
        <v>Nov</v>
      </c>
    </row>
    <row r="245" spans="1:11">
      <c r="A245" s="1" t="s">
        <v>269</v>
      </c>
      <c r="B245" s="2">
        <v>45956</v>
      </c>
      <c r="C245" s="1" t="s">
        <v>28</v>
      </c>
      <c r="D245" s="1" t="s">
        <v>17</v>
      </c>
      <c r="E245" s="1" t="s">
        <v>14</v>
      </c>
      <c r="F245" s="1">
        <v>127</v>
      </c>
      <c r="G245" s="1">
        <v>30.39</v>
      </c>
      <c r="H245" s="1">
        <v>3859.53</v>
      </c>
      <c r="I245" s="1">
        <v>2810.93</v>
      </c>
      <c r="J245" s="1">
        <v>1048.5999999999999</v>
      </c>
      <c r="K245" s="8" t="str">
        <f t="shared" si="3"/>
        <v>Oct</v>
      </c>
    </row>
    <row r="246" spans="1:11">
      <c r="A246" s="1" t="s">
        <v>270</v>
      </c>
      <c r="B246" s="2">
        <v>45791</v>
      </c>
      <c r="C246" s="1" t="s">
        <v>28</v>
      </c>
      <c r="D246" s="1" t="s">
        <v>29</v>
      </c>
      <c r="E246" s="1" t="s">
        <v>33</v>
      </c>
      <c r="F246" s="1">
        <v>60</v>
      </c>
      <c r="G246" s="1">
        <v>36.840000000000003</v>
      </c>
      <c r="H246" s="1">
        <v>2210.4</v>
      </c>
      <c r="I246" s="1">
        <v>1433.4</v>
      </c>
      <c r="J246" s="1">
        <v>777</v>
      </c>
      <c r="K246" s="8" t="str">
        <f t="shared" si="3"/>
        <v>May</v>
      </c>
    </row>
    <row r="247" spans="1:11">
      <c r="A247" s="1" t="s">
        <v>271</v>
      </c>
      <c r="B247" s="2">
        <v>45980</v>
      </c>
      <c r="C247" s="1" t="s">
        <v>28</v>
      </c>
      <c r="D247" s="1" t="s">
        <v>13</v>
      </c>
      <c r="E247" s="1" t="s">
        <v>23</v>
      </c>
      <c r="F247" s="1">
        <v>90</v>
      </c>
      <c r="G247" s="1">
        <v>17.5</v>
      </c>
      <c r="H247" s="1">
        <v>1575</v>
      </c>
      <c r="I247" s="1">
        <v>1078.43</v>
      </c>
      <c r="J247" s="1">
        <v>496.57</v>
      </c>
      <c r="K247" s="8" t="str">
        <f t="shared" si="3"/>
        <v>Nov</v>
      </c>
    </row>
    <row r="248" spans="1:11">
      <c r="A248" s="1" t="s">
        <v>272</v>
      </c>
      <c r="B248" s="2">
        <v>45867</v>
      </c>
      <c r="C248" s="1" t="s">
        <v>22</v>
      </c>
      <c r="D248" s="1" t="s">
        <v>29</v>
      </c>
      <c r="E248" s="1" t="s">
        <v>14</v>
      </c>
      <c r="F248" s="1">
        <v>275</v>
      </c>
      <c r="G248" s="1">
        <v>30.26</v>
      </c>
      <c r="H248" s="1">
        <v>8321.5</v>
      </c>
      <c r="I248" s="1">
        <v>6541.03</v>
      </c>
      <c r="J248" s="1">
        <v>1780.47</v>
      </c>
      <c r="K248" s="8" t="str">
        <f t="shared" si="3"/>
        <v>Jul</v>
      </c>
    </row>
    <row r="249" spans="1:11">
      <c r="A249" s="1" t="s">
        <v>273</v>
      </c>
      <c r="B249" s="2">
        <v>45663</v>
      </c>
      <c r="C249" s="1" t="s">
        <v>16</v>
      </c>
      <c r="D249" s="1" t="s">
        <v>13</v>
      </c>
      <c r="E249" s="1" t="s">
        <v>14</v>
      </c>
      <c r="F249" s="1">
        <v>209</v>
      </c>
      <c r="G249" s="1">
        <v>34.96</v>
      </c>
      <c r="H249" s="1">
        <v>7306.64</v>
      </c>
      <c r="I249" s="1">
        <v>5711.15</v>
      </c>
      <c r="J249" s="1">
        <v>1595.49</v>
      </c>
      <c r="K249" s="8" t="str">
        <f t="shared" si="3"/>
        <v>Jan</v>
      </c>
    </row>
    <row r="250" spans="1:11">
      <c r="A250" s="1" t="s">
        <v>274</v>
      </c>
      <c r="B250" s="2">
        <v>45936</v>
      </c>
      <c r="C250" s="1" t="s">
        <v>22</v>
      </c>
      <c r="D250" s="1" t="s">
        <v>29</v>
      </c>
      <c r="E250" s="1" t="s">
        <v>14</v>
      </c>
      <c r="F250" s="1">
        <v>121</v>
      </c>
      <c r="G250" s="1">
        <v>14.83</v>
      </c>
      <c r="H250" s="1">
        <v>1794.43</v>
      </c>
      <c r="I250" s="1">
        <v>1357.23</v>
      </c>
      <c r="J250" s="1">
        <v>437.2</v>
      </c>
      <c r="K250" s="8" t="str">
        <f t="shared" si="3"/>
        <v>Oct</v>
      </c>
    </row>
    <row r="251" spans="1:11">
      <c r="A251" s="1" t="s">
        <v>275</v>
      </c>
      <c r="B251" s="2">
        <v>45709</v>
      </c>
      <c r="C251" s="1" t="s">
        <v>12</v>
      </c>
      <c r="D251" s="1" t="s">
        <v>13</v>
      </c>
      <c r="E251" s="1" t="s">
        <v>33</v>
      </c>
      <c r="F251" s="1">
        <v>243</v>
      </c>
      <c r="G251" s="1">
        <v>26.23</v>
      </c>
      <c r="H251" s="1">
        <v>6373.89</v>
      </c>
      <c r="I251" s="1">
        <v>4738.7299999999996</v>
      </c>
      <c r="J251" s="1">
        <v>1635.16</v>
      </c>
      <c r="K251" s="8" t="str">
        <f t="shared" si="3"/>
        <v>Feb</v>
      </c>
    </row>
    <row r="252" spans="1:11">
      <c r="A252" s="1" t="s">
        <v>276</v>
      </c>
      <c r="B252" s="2">
        <v>45847</v>
      </c>
      <c r="C252" s="1" t="s">
        <v>28</v>
      </c>
      <c r="D252" s="1" t="s">
        <v>13</v>
      </c>
      <c r="E252" s="1" t="s">
        <v>33</v>
      </c>
      <c r="F252" s="1">
        <v>277</v>
      </c>
      <c r="G252" s="1">
        <v>20.29</v>
      </c>
      <c r="H252" s="1">
        <v>5620.33</v>
      </c>
      <c r="I252" s="1">
        <v>4206.38</v>
      </c>
      <c r="J252" s="1">
        <v>1413.95</v>
      </c>
      <c r="K252" s="8" t="str">
        <f t="shared" si="3"/>
        <v>Jul</v>
      </c>
    </row>
    <row r="253" spans="1:11">
      <c r="A253" s="1" t="s">
        <v>277</v>
      </c>
      <c r="B253" s="2">
        <v>45752</v>
      </c>
      <c r="C253" s="1" t="s">
        <v>36</v>
      </c>
      <c r="D253" s="1" t="s">
        <v>29</v>
      </c>
      <c r="E253" s="1" t="s">
        <v>14</v>
      </c>
      <c r="F253" s="1">
        <v>210</v>
      </c>
      <c r="G253" s="1">
        <v>25.41</v>
      </c>
      <c r="H253" s="1">
        <v>5336.1</v>
      </c>
      <c r="I253" s="1">
        <v>4197.05</v>
      </c>
      <c r="J253" s="1">
        <v>1139.05</v>
      </c>
      <c r="K253" s="8" t="str">
        <f t="shared" si="3"/>
        <v>Apr</v>
      </c>
    </row>
    <row r="254" spans="1:11">
      <c r="A254" s="1" t="s">
        <v>278</v>
      </c>
      <c r="B254" s="2">
        <v>45984</v>
      </c>
      <c r="C254" s="1" t="s">
        <v>16</v>
      </c>
      <c r="D254" s="1" t="s">
        <v>13</v>
      </c>
      <c r="E254" s="1" t="s">
        <v>26</v>
      </c>
      <c r="F254" s="1">
        <v>38</v>
      </c>
      <c r="G254" s="1">
        <v>17.57</v>
      </c>
      <c r="H254" s="1">
        <v>667.66</v>
      </c>
      <c r="I254" s="1">
        <v>451.58</v>
      </c>
      <c r="J254" s="1">
        <v>216.08</v>
      </c>
      <c r="K254" s="8" t="str">
        <f t="shared" si="3"/>
        <v>Nov</v>
      </c>
    </row>
    <row r="255" spans="1:11">
      <c r="A255" s="1" t="s">
        <v>279</v>
      </c>
      <c r="B255" s="2">
        <v>45872</v>
      </c>
      <c r="C255" s="1" t="s">
        <v>12</v>
      </c>
      <c r="D255" s="1" t="s">
        <v>17</v>
      </c>
      <c r="E255" s="1" t="s">
        <v>26</v>
      </c>
      <c r="F255" s="1">
        <v>225</v>
      </c>
      <c r="G255" s="1">
        <v>28.86</v>
      </c>
      <c r="H255" s="1">
        <v>6493.5</v>
      </c>
      <c r="I255" s="1">
        <v>4772.57</v>
      </c>
      <c r="J255" s="1">
        <v>1720.93</v>
      </c>
      <c r="K255" s="8" t="str">
        <f t="shared" si="3"/>
        <v>Aug</v>
      </c>
    </row>
    <row r="256" spans="1:11">
      <c r="A256" s="1" t="s">
        <v>280</v>
      </c>
      <c r="B256" s="2">
        <v>45772</v>
      </c>
      <c r="C256" s="1" t="s">
        <v>12</v>
      </c>
      <c r="D256" s="1" t="s">
        <v>13</v>
      </c>
      <c r="E256" s="1" t="s">
        <v>18</v>
      </c>
      <c r="F256" s="1">
        <v>165</v>
      </c>
      <c r="G256" s="1">
        <v>32.24</v>
      </c>
      <c r="H256" s="1">
        <v>5319.6</v>
      </c>
      <c r="I256" s="1">
        <v>4191.7700000000004</v>
      </c>
      <c r="J256" s="1">
        <v>1127.83</v>
      </c>
      <c r="K256" s="8" t="str">
        <f t="shared" si="3"/>
        <v>Apr</v>
      </c>
    </row>
    <row r="257" spans="1:11">
      <c r="A257" s="1" t="s">
        <v>281</v>
      </c>
      <c r="B257" s="2">
        <v>45894</v>
      </c>
      <c r="C257" s="1" t="s">
        <v>16</v>
      </c>
      <c r="D257" s="1" t="s">
        <v>29</v>
      </c>
      <c r="E257" s="1" t="s">
        <v>20</v>
      </c>
      <c r="F257" s="1">
        <v>118</v>
      </c>
      <c r="G257" s="1">
        <v>14.94</v>
      </c>
      <c r="H257" s="1">
        <v>1762.92</v>
      </c>
      <c r="I257" s="1">
        <v>1385.45</v>
      </c>
      <c r="J257" s="1">
        <v>377.47</v>
      </c>
      <c r="K257" s="8" t="str">
        <f t="shared" si="3"/>
        <v>Aug</v>
      </c>
    </row>
    <row r="258" spans="1:11">
      <c r="A258" s="1" t="s">
        <v>282</v>
      </c>
      <c r="B258" s="2">
        <v>45898</v>
      </c>
      <c r="C258" s="1" t="s">
        <v>22</v>
      </c>
      <c r="D258" s="1" t="s">
        <v>17</v>
      </c>
      <c r="E258" s="1" t="s">
        <v>33</v>
      </c>
      <c r="F258" s="1">
        <v>297</v>
      </c>
      <c r="G258" s="1">
        <v>31.62</v>
      </c>
      <c r="H258" s="1">
        <v>9391.14</v>
      </c>
      <c r="I258" s="1">
        <v>7164.76</v>
      </c>
      <c r="J258" s="1">
        <v>2226.38</v>
      </c>
      <c r="K258" s="8" t="str">
        <f t="shared" ref="K258:K321" si="4">TEXT(B258,"mmm")</f>
        <v>Aug</v>
      </c>
    </row>
    <row r="259" spans="1:11">
      <c r="A259" s="1" t="s">
        <v>283</v>
      </c>
      <c r="B259" s="2">
        <v>45985</v>
      </c>
      <c r="C259" s="1" t="s">
        <v>12</v>
      </c>
      <c r="D259" s="1" t="s">
        <v>29</v>
      </c>
      <c r="E259" s="1" t="s">
        <v>20</v>
      </c>
      <c r="F259" s="1">
        <v>221</v>
      </c>
      <c r="G259" s="1">
        <v>24.04</v>
      </c>
      <c r="H259" s="1">
        <v>5312.84</v>
      </c>
      <c r="I259" s="1">
        <v>3500.46</v>
      </c>
      <c r="J259" s="1">
        <v>1812.38</v>
      </c>
      <c r="K259" s="8" t="str">
        <f t="shared" si="4"/>
        <v>Nov</v>
      </c>
    </row>
    <row r="260" spans="1:11">
      <c r="A260" s="1" t="s">
        <v>284</v>
      </c>
      <c r="B260" s="2">
        <v>45898</v>
      </c>
      <c r="C260" s="1" t="s">
        <v>36</v>
      </c>
      <c r="D260" s="1" t="s">
        <v>17</v>
      </c>
      <c r="E260" s="1" t="s">
        <v>33</v>
      </c>
      <c r="F260" s="1">
        <v>191</v>
      </c>
      <c r="G260" s="1">
        <v>33.51</v>
      </c>
      <c r="H260" s="1">
        <v>6400.41</v>
      </c>
      <c r="I260" s="1">
        <v>4135.25</v>
      </c>
      <c r="J260" s="1">
        <v>2265.16</v>
      </c>
      <c r="K260" s="8" t="str">
        <f t="shared" si="4"/>
        <v>Aug</v>
      </c>
    </row>
    <row r="261" spans="1:11">
      <c r="A261" s="1" t="s">
        <v>285</v>
      </c>
      <c r="B261" s="2">
        <v>45787</v>
      </c>
      <c r="C261" s="1" t="s">
        <v>36</v>
      </c>
      <c r="D261" s="1" t="s">
        <v>17</v>
      </c>
      <c r="E261" s="1" t="s">
        <v>14</v>
      </c>
      <c r="F261" s="1">
        <v>228</v>
      </c>
      <c r="G261" s="1">
        <v>30.36</v>
      </c>
      <c r="H261" s="1">
        <v>6922.08</v>
      </c>
      <c r="I261" s="1">
        <v>4819.9399999999996</v>
      </c>
      <c r="J261" s="1">
        <v>2102.14</v>
      </c>
      <c r="K261" s="8" t="str">
        <f t="shared" si="4"/>
        <v>May</v>
      </c>
    </row>
    <row r="262" spans="1:11">
      <c r="A262" s="1" t="s">
        <v>286</v>
      </c>
      <c r="B262" s="2">
        <v>45783</v>
      </c>
      <c r="C262" s="1" t="s">
        <v>12</v>
      </c>
      <c r="D262" s="1" t="s">
        <v>29</v>
      </c>
      <c r="E262" s="1" t="s">
        <v>26</v>
      </c>
      <c r="F262" s="1">
        <v>164</v>
      </c>
      <c r="G262" s="1">
        <v>19.61</v>
      </c>
      <c r="H262" s="1">
        <v>3216.04</v>
      </c>
      <c r="I262" s="1">
        <v>2241.5300000000002</v>
      </c>
      <c r="J262" s="1">
        <v>974.51</v>
      </c>
      <c r="K262" s="8" t="str">
        <f t="shared" si="4"/>
        <v>May</v>
      </c>
    </row>
    <row r="263" spans="1:11">
      <c r="A263" s="1" t="s">
        <v>287</v>
      </c>
      <c r="B263" s="2">
        <v>45995</v>
      </c>
      <c r="C263" s="1" t="s">
        <v>28</v>
      </c>
      <c r="D263" s="1" t="s">
        <v>13</v>
      </c>
      <c r="E263" s="1" t="s">
        <v>26</v>
      </c>
      <c r="F263" s="1">
        <v>195</v>
      </c>
      <c r="G263" s="1">
        <v>14.58</v>
      </c>
      <c r="H263" s="1">
        <v>2843.1</v>
      </c>
      <c r="I263" s="1">
        <v>1878.25</v>
      </c>
      <c r="J263" s="1">
        <v>964.85</v>
      </c>
      <c r="K263" s="8" t="str">
        <f t="shared" si="4"/>
        <v>Dec</v>
      </c>
    </row>
    <row r="264" spans="1:11">
      <c r="A264" s="1" t="s">
        <v>288</v>
      </c>
      <c r="B264" s="2">
        <v>45947</v>
      </c>
      <c r="C264" s="1" t="s">
        <v>31</v>
      </c>
      <c r="D264" s="1" t="s">
        <v>29</v>
      </c>
      <c r="E264" s="1" t="s">
        <v>23</v>
      </c>
      <c r="F264" s="1">
        <v>176</v>
      </c>
      <c r="G264" s="1">
        <v>33.520000000000003</v>
      </c>
      <c r="H264" s="1">
        <v>5899.52</v>
      </c>
      <c r="I264" s="1">
        <v>3705.37</v>
      </c>
      <c r="J264" s="1">
        <v>2194.15</v>
      </c>
      <c r="K264" s="8" t="str">
        <f t="shared" si="4"/>
        <v>Oct</v>
      </c>
    </row>
    <row r="265" spans="1:11">
      <c r="A265" s="1" t="s">
        <v>289</v>
      </c>
      <c r="B265" s="2">
        <v>45665</v>
      </c>
      <c r="C265" s="1" t="s">
        <v>31</v>
      </c>
      <c r="D265" s="1" t="s">
        <v>17</v>
      </c>
      <c r="E265" s="1" t="s">
        <v>23</v>
      </c>
      <c r="F265" s="1">
        <v>15</v>
      </c>
      <c r="G265" s="1">
        <v>16.29</v>
      </c>
      <c r="H265" s="1">
        <v>244.35</v>
      </c>
      <c r="I265" s="1">
        <v>150.13</v>
      </c>
      <c r="J265" s="1">
        <v>94.22</v>
      </c>
      <c r="K265" s="8" t="str">
        <f t="shared" si="4"/>
        <v>Jan</v>
      </c>
    </row>
    <row r="266" spans="1:11">
      <c r="A266" s="1" t="s">
        <v>290</v>
      </c>
      <c r="B266" s="2">
        <v>45709</v>
      </c>
      <c r="C266" s="1" t="s">
        <v>28</v>
      </c>
      <c r="D266" s="1" t="s">
        <v>17</v>
      </c>
      <c r="E266" s="1" t="s">
        <v>20</v>
      </c>
      <c r="F266" s="1">
        <v>83</v>
      </c>
      <c r="G266" s="1">
        <v>35.630000000000003</v>
      </c>
      <c r="H266" s="1">
        <v>2957.29</v>
      </c>
      <c r="I266" s="1">
        <v>1884.19</v>
      </c>
      <c r="J266" s="1">
        <v>1073.0999999999999</v>
      </c>
      <c r="K266" s="8" t="str">
        <f t="shared" si="4"/>
        <v>Feb</v>
      </c>
    </row>
    <row r="267" spans="1:11">
      <c r="A267" s="1" t="s">
        <v>291</v>
      </c>
      <c r="B267" s="2">
        <v>45764</v>
      </c>
      <c r="C267" s="1" t="s">
        <v>36</v>
      </c>
      <c r="D267" s="1" t="s">
        <v>29</v>
      </c>
      <c r="E267" s="1" t="s">
        <v>26</v>
      </c>
      <c r="F267" s="1">
        <v>216</v>
      </c>
      <c r="G267" s="1">
        <v>33.75</v>
      </c>
      <c r="H267" s="1">
        <v>7290</v>
      </c>
      <c r="I267" s="1">
        <v>4618.82</v>
      </c>
      <c r="J267" s="1">
        <v>2671.18</v>
      </c>
      <c r="K267" s="8" t="str">
        <f t="shared" si="4"/>
        <v>Apr</v>
      </c>
    </row>
    <row r="268" spans="1:11">
      <c r="A268" s="1" t="s">
        <v>292</v>
      </c>
      <c r="B268" s="2">
        <v>46000</v>
      </c>
      <c r="C268" s="1" t="s">
        <v>22</v>
      </c>
      <c r="D268" s="1" t="s">
        <v>17</v>
      </c>
      <c r="E268" s="1" t="s">
        <v>33</v>
      </c>
      <c r="F268" s="1">
        <v>290</v>
      </c>
      <c r="G268" s="1">
        <v>33.64</v>
      </c>
      <c r="H268" s="1">
        <v>9755.6</v>
      </c>
      <c r="I268" s="1">
        <v>7489.97</v>
      </c>
      <c r="J268" s="1">
        <v>2265.63</v>
      </c>
      <c r="K268" s="8" t="str">
        <f t="shared" si="4"/>
        <v>Dec</v>
      </c>
    </row>
    <row r="269" spans="1:11">
      <c r="A269" s="1" t="s">
        <v>293</v>
      </c>
      <c r="B269" s="2">
        <v>45767</v>
      </c>
      <c r="C269" s="1" t="s">
        <v>36</v>
      </c>
      <c r="D269" s="1" t="s">
        <v>13</v>
      </c>
      <c r="E269" s="1" t="s">
        <v>23</v>
      </c>
      <c r="F269" s="1">
        <v>281</v>
      </c>
      <c r="G269" s="1">
        <v>12.36</v>
      </c>
      <c r="H269" s="1">
        <v>3473.16</v>
      </c>
      <c r="I269" s="1">
        <v>2666.89</v>
      </c>
      <c r="J269" s="1">
        <v>806.27</v>
      </c>
      <c r="K269" s="8" t="str">
        <f t="shared" si="4"/>
        <v>Apr</v>
      </c>
    </row>
    <row r="270" spans="1:11">
      <c r="A270" s="1" t="s">
        <v>294</v>
      </c>
      <c r="B270" s="2">
        <v>45718</v>
      </c>
      <c r="C270" s="1" t="s">
        <v>28</v>
      </c>
      <c r="D270" s="1" t="s">
        <v>17</v>
      </c>
      <c r="E270" s="1" t="s">
        <v>23</v>
      </c>
      <c r="F270" s="1">
        <v>145</v>
      </c>
      <c r="G270" s="1">
        <v>22.57</v>
      </c>
      <c r="H270" s="1">
        <v>3272.65</v>
      </c>
      <c r="I270" s="1">
        <v>2504.92</v>
      </c>
      <c r="J270" s="1">
        <v>767.73</v>
      </c>
      <c r="K270" s="8" t="str">
        <f t="shared" si="4"/>
        <v>Mar</v>
      </c>
    </row>
    <row r="271" spans="1:11">
      <c r="A271" s="1" t="s">
        <v>295</v>
      </c>
      <c r="B271" s="2">
        <v>45687</v>
      </c>
      <c r="C271" s="1" t="s">
        <v>28</v>
      </c>
      <c r="D271" s="1" t="s">
        <v>13</v>
      </c>
      <c r="E271" s="1" t="s">
        <v>18</v>
      </c>
      <c r="F271" s="1">
        <v>257</v>
      </c>
      <c r="G271" s="1">
        <v>24.01</v>
      </c>
      <c r="H271" s="1">
        <v>6170.57</v>
      </c>
      <c r="I271" s="1">
        <v>3880.57</v>
      </c>
      <c r="J271" s="1">
        <v>2290</v>
      </c>
      <c r="K271" s="8" t="str">
        <f t="shared" si="4"/>
        <v>Jan</v>
      </c>
    </row>
    <row r="272" spans="1:11">
      <c r="A272" s="1" t="s">
        <v>296</v>
      </c>
      <c r="B272" s="2">
        <v>45742</v>
      </c>
      <c r="C272" s="1" t="s">
        <v>22</v>
      </c>
      <c r="D272" s="1" t="s">
        <v>17</v>
      </c>
      <c r="E272" s="1" t="s">
        <v>18</v>
      </c>
      <c r="F272" s="1">
        <v>286</v>
      </c>
      <c r="G272" s="1">
        <v>27.99</v>
      </c>
      <c r="H272" s="1">
        <v>8005.14</v>
      </c>
      <c r="I272" s="1">
        <v>5979.18</v>
      </c>
      <c r="J272" s="1">
        <v>2025.96</v>
      </c>
      <c r="K272" s="8" t="str">
        <f t="shared" si="4"/>
        <v>Mar</v>
      </c>
    </row>
    <row r="273" spans="1:11">
      <c r="A273" s="1" t="s">
        <v>297</v>
      </c>
      <c r="B273" s="2">
        <v>46014</v>
      </c>
      <c r="C273" s="1" t="s">
        <v>28</v>
      </c>
      <c r="D273" s="1" t="s">
        <v>17</v>
      </c>
      <c r="E273" s="1" t="s">
        <v>18</v>
      </c>
      <c r="F273" s="1">
        <v>298</v>
      </c>
      <c r="G273" s="1">
        <v>24.93</v>
      </c>
      <c r="H273" s="1">
        <v>7429.14</v>
      </c>
      <c r="I273" s="1">
        <v>4898.5</v>
      </c>
      <c r="J273" s="1">
        <v>2530.64</v>
      </c>
      <c r="K273" s="8" t="str">
        <f t="shared" si="4"/>
        <v>Dec</v>
      </c>
    </row>
    <row r="274" spans="1:11">
      <c r="A274" s="1" t="s">
        <v>298</v>
      </c>
      <c r="B274" s="2">
        <v>45872</v>
      </c>
      <c r="C274" s="1" t="s">
        <v>36</v>
      </c>
      <c r="D274" s="1" t="s">
        <v>13</v>
      </c>
      <c r="E274" s="1" t="s">
        <v>26</v>
      </c>
      <c r="F274" s="1">
        <v>48</v>
      </c>
      <c r="G274" s="1">
        <v>15.42</v>
      </c>
      <c r="H274" s="1">
        <v>740.16</v>
      </c>
      <c r="I274" s="1">
        <v>497.44</v>
      </c>
      <c r="J274" s="1">
        <v>242.72</v>
      </c>
      <c r="K274" s="8" t="str">
        <f t="shared" si="4"/>
        <v>Aug</v>
      </c>
    </row>
    <row r="275" spans="1:11">
      <c r="A275" s="1" t="s">
        <v>299</v>
      </c>
      <c r="B275" s="2">
        <v>45970</v>
      </c>
      <c r="C275" s="1" t="s">
        <v>31</v>
      </c>
      <c r="D275" s="1" t="s">
        <v>13</v>
      </c>
      <c r="E275" s="1" t="s">
        <v>23</v>
      </c>
      <c r="F275" s="1">
        <v>33</v>
      </c>
      <c r="G275" s="1">
        <v>30.48</v>
      </c>
      <c r="H275" s="1">
        <v>1005.84</v>
      </c>
      <c r="I275" s="1">
        <v>790.89</v>
      </c>
      <c r="J275" s="1">
        <v>214.95</v>
      </c>
      <c r="K275" s="8" t="str">
        <f t="shared" si="4"/>
        <v>Nov</v>
      </c>
    </row>
    <row r="276" spans="1:11">
      <c r="A276" s="1" t="s">
        <v>300</v>
      </c>
      <c r="B276" s="2">
        <v>45905</v>
      </c>
      <c r="C276" s="1" t="s">
        <v>22</v>
      </c>
      <c r="D276" s="1" t="s">
        <v>29</v>
      </c>
      <c r="E276" s="1" t="s">
        <v>18</v>
      </c>
      <c r="F276" s="1">
        <v>258</v>
      </c>
      <c r="G276" s="1">
        <v>32.72</v>
      </c>
      <c r="H276" s="1">
        <v>8441.76</v>
      </c>
      <c r="I276" s="1">
        <v>5309</v>
      </c>
      <c r="J276" s="1">
        <v>3132.76</v>
      </c>
      <c r="K276" s="8" t="str">
        <f t="shared" si="4"/>
        <v>Sep</v>
      </c>
    </row>
    <row r="277" spans="1:11">
      <c r="A277" s="1" t="s">
        <v>301</v>
      </c>
      <c r="B277" s="2">
        <v>45978</v>
      </c>
      <c r="C277" s="1" t="s">
        <v>31</v>
      </c>
      <c r="D277" s="1" t="s">
        <v>17</v>
      </c>
      <c r="E277" s="1" t="s">
        <v>18</v>
      </c>
      <c r="F277" s="1">
        <v>74</v>
      </c>
      <c r="G277" s="1">
        <v>20.16</v>
      </c>
      <c r="H277" s="1">
        <v>1491.84</v>
      </c>
      <c r="I277" s="1">
        <v>1152.2</v>
      </c>
      <c r="J277" s="1">
        <v>339.64</v>
      </c>
      <c r="K277" s="8" t="str">
        <f t="shared" si="4"/>
        <v>Nov</v>
      </c>
    </row>
    <row r="278" spans="1:11">
      <c r="A278" s="1" t="s">
        <v>302</v>
      </c>
      <c r="B278" s="2">
        <v>45927</v>
      </c>
      <c r="C278" s="1" t="s">
        <v>28</v>
      </c>
      <c r="D278" s="1" t="s">
        <v>17</v>
      </c>
      <c r="E278" s="1" t="s">
        <v>18</v>
      </c>
      <c r="F278" s="1">
        <v>293</v>
      </c>
      <c r="G278" s="1">
        <v>33.119999999999997</v>
      </c>
      <c r="H278" s="1">
        <v>9704.16</v>
      </c>
      <c r="I278" s="1">
        <v>6231.48</v>
      </c>
      <c r="J278" s="1">
        <v>3472.68</v>
      </c>
      <c r="K278" s="8" t="str">
        <f t="shared" si="4"/>
        <v>Sep</v>
      </c>
    </row>
    <row r="279" spans="1:11">
      <c r="A279" s="1" t="s">
        <v>303</v>
      </c>
      <c r="B279" s="2">
        <v>45786</v>
      </c>
      <c r="C279" s="1" t="s">
        <v>31</v>
      </c>
      <c r="D279" s="1" t="s">
        <v>17</v>
      </c>
      <c r="E279" s="1" t="s">
        <v>18</v>
      </c>
      <c r="F279" s="1">
        <v>293</v>
      </c>
      <c r="G279" s="1">
        <v>11.58</v>
      </c>
      <c r="H279" s="1">
        <v>3392.94</v>
      </c>
      <c r="I279" s="1">
        <v>2231.98</v>
      </c>
      <c r="J279" s="1">
        <v>1160.96</v>
      </c>
      <c r="K279" s="8" t="str">
        <f t="shared" si="4"/>
        <v>May</v>
      </c>
    </row>
    <row r="280" spans="1:11">
      <c r="A280" s="1" t="s">
        <v>304</v>
      </c>
      <c r="B280" s="2">
        <v>45828</v>
      </c>
      <c r="C280" s="1" t="s">
        <v>31</v>
      </c>
      <c r="D280" s="1" t="s">
        <v>13</v>
      </c>
      <c r="E280" s="1" t="s">
        <v>33</v>
      </c>
      <c r="F280" s="1">
        <v>267</v>
      </c>
      <c r="G280" s="1">
        <v>39.53</v>
      </c>
      <c r="H280" s="1">
        <v>10554.51</v>
      </c>
      <c r="I280" s="1">
        <v>8175.45</v>
      </c>
      <c r="J280" s="1">
        <v>2379.06</v>
      </c>
      <c r="K280" s="8" t="str">
        <f t="shared" si="4"/>
        <v>Jun</v>
      </c>
    </row>
    <row r="281" spans="1:11">
      <c r="A281" s="1" t="s">
        <v>305</v>
      </c>
      <c r="B281" s="2">
        <v>45910</v>
      </c>
      <c r="C281" s="1" t="s">
        <v>31</v>
      </c>
      <c r="D281" s="1" t="s">
        <v>13</v>
      </c>
      <c r="E281" s="1" t="s">
        <v>23</v>
      </c>
      <c r="F281" s="1">
        <v>70</v>
      </c>
      <c r="G281" s="1">
        <v>19.93</v>
      </c>
      <c r="H281" s="1">
        <v>1395.1</v>
      </c>
      <c r="I281" s="1">
        <v>925.54</v>
      </c>
      <c r="J281" s="1">
        <v>469.56</v>
      </c>
      <c r="K281" s="8" t="str">
        <f t="shared" si="4"/>
        <v>Sep</v>
      </c>
    </row>
    <row r="282" spans="1:11">
      <c r="A282" s="1" t="s">
        <v>306</v>
      </c>
      <c r="B282" s="2">
        <v>45983</v>
      </c>
      <c r="C282" s="1" t="s">
        <v>36</v>
      </c>
      <c r="D282" s="1" t="s">
        <v>29</v>
      </c>
      <c r="E282" s="1" t="s">
        <v>18</v>
      </c>
      <c r="F282" s="1">
        <v>54</v>
      </c>
      <c r="G282" s="1">
        <v>33.53</v>
      </c>
      <c r="H282" s="1">
        <v>1810.62</v>
      </c>
      <c r="I282" s="1">
        <v>1100.8800000000001</v>
      </c>
      <c r="J282" s="1">
        <v>709.74</v>
      </c>
      <c r="K282" s="8" t="str">
        <f t="shared" si="4"/>
        <v>Nov</v>
      </c>
    </row>
    <row r="283" spans="1:11">
      <c r="A283" s="1" t="s">
        <v>307</v>
      </c>
      <c r="B283" s="2">
        <v>45937</v>
      </c>
      <c r="C283" s="1" t="s">
        <v>16</v>
      </c>
      <c r="D283" s="1" t="s">
        <v>13</v>
      </c>
      <c r="E283" s="1" t="s">
        <v>18</v>
      </c>
      <c r="F283" s="1">
        <v>35</v>
      </c>
      <c r="G283" s="1">
        <v>21.95</v>
      </c>
      <c r="H283" s="1">
        <v>768.25</v>
      </c>
      <c r="I283" s="1">
        <v>477.62</v>
      </c>
      <c r="J283" s="1">
        <v>290.63</v>
      </c>
      <c r="K283" s="8" t="str">
        <f t="shared" si="4"/>
        <v>Oct</v>
      </c>
    </row>
    <row r="284" spans="1:11">
      <c r="A284" s="1" t="s">
        <v>308</v>
      </c>
      <c r="B284" s="2">
        <v>45969</v>
      </c>
      <c r="C284" s="1" t="s">
        <v>12</v>
      </c>
      <c r="D284" s="1" t="s">
        <v>17</v>
      </c>
      <c r="E284" s="1" t="s">
        <v>23</v>
      </c>
      <c r="F284" s="1">
        <v>40</v>
      </c>
      <c r="G284" s="1">
        <v>33.67</v>
      </c>
      <c r="H284" s="1">
        <v>1346.8</v>
      </c>
      <c r="I284" s="1">
        <v>1053.1500000000001</v>
      </c>
      <c r="J284" s="1">
        <v>293.64999999999998</v>
      </c>
      <c r="K284" s="8" t="str">
        <f t="shared" si="4"/>
        <v>Nov</v>
      </c>
    </row>
    <row r="285" spans="1:11">
      <c r="A285" s="1" t="s">
        <v>309</v>
      </c>
      <c r="B285" s="2">
        <v>45733</v>
      </c>
      <c r="C285" s="1" t="s">
        <v>28</v>
      </c>
      <c r="D285" s="1" t="s">
        <v>29</v>
      </c>
      <c r="E285" s="1" t="s">
        <v>20</v>
      </c>
      <c r="F285" s="1">
        <v>52</v>
      </c>
      <c r="G285" s="1">
        <v>16.38</v>
      </c>
      <c r="H285" s="1">
        <v>851.76</v>
      </c>
      <c r="I285" s="1">
        <v>624.67999999999995</v>
      </c>
      <c r="J285" s="1">
        <v>227.08</v>
      </c>
      <c r="K285" s="8" t="str">
        <f t="shared" si="4"/>
        <v>Mar</v>
      </c>
    </row>
    <row r="286" spans="1:11">
      <c r="A286" s="1" t="s">
        <v>310</v>
      </c>
      <c r="B286" s="2">
        <v>45709</v>
      </c>
      <c r="C286" s="1" t="s">
        <v>16</v>
      </c>
      <c r="D286" s="1" t="s">
        <v>29</v>
      </c>
      <c r="E286" s="1" t="s">
        <v>26</v>
      </c>
      <c r="F286" s="1">
        <v>102</v>
      </c>
      <c r="G286" s="1">
        <v>36.08</v>
      </c>
      <c r="H286" s="1">
        <v>3680.16</v>
      </c>
      <c r="I286" s="1">
        <v>2518.39</v>
      </c>
      <c r="J286" s="1">
        <v>1161.77</v>
      </c>
      <c r="K286" s="8" t="str">
        <f t="shared" si="4"/>
        <v>Feb</v>
      </c>
    </row>
    <row r="287" spans="1:11">
      <c r="A287" s="1" t="s">
        <v>311</v>
      </c>
      <c r="B287" s="2">
        <v>45846</v>
      </c>
      <c r="C287" s="1" t="s">
        <v>31</v>
      </c>
      <c r="D287" s="1" t="s">
        <v>17</v>
      </c>
      <c r="E287" s="1" t="s">
        <v>20</v>
      </c>
      <c r="F287" s="1">
        <v>81</v>
      </c>
      <c r="G287" s="1">
        <v>33.6</v>
      </c>
      <c r="H287" s="1">
        <v>2721.6</v>
      </c>
      <c r="I287" s="1">
        <v>1938.92</v>
      </c>
      <c r="J287" s="1">
        <v>782.68</v>
      </c>
      <c r="K287" s="8" t="str">
        <f t="shared" si="4"/>
        <v>Jul</v>
      </c>
    </row>
    <row r="288" spans="1:11">
      <c r="A288" s="1" t="s">
        <v>312</v>
      </c>
      <c r="B288" s="2">
        <v>45873</v>
      </c>
      <c r="C288" s="1" t="s">
        <v>36</v>
      </c>
      <c r="D288" s="1" t="s">
        <v>29</v>
      </c>
      <c r="E288" s="1" t="s">
        <v>26</v>
      </c>
      <c r="F288" s="1">
        <v>27</v>
      </c>
      <c r="G288" s="1">
        <v>19.55</v>
      </c>
      <c r="H288" s="1">
        <v>527.85</v>
      </c>
      <c r="I288" s="1">
        <v>362.18</v>
      </c>
      <c r="J288" s="1">
        <v>165.67</v>
      </c>
      <c r="K288" s="8" t="str">
        <f t="shared" si="4"/>
        <v>Aug</v>
      </c>
    </row>
    <row r="289" spans="1:11">
      <c r="A289" s="1" t="s">
        <v>313</v>
      </c>
      <c r="B289" s="2">
        <v>45912</v>
      </c>
      <c r="C289" s="1" t="s">
        <v>28</v>
      </c>
      <c r="D289" s="1" t="s">
        <v>29</v>
      </c>
      <c r="E289" s="1" t="s">
        <v>33</v>
      </c>
      <c r="F289" s="1">
        <v>300</v>
      </c>
      <c r="G289" s="1">
        <v>25.66</v>
      </c>
      <c r="H289" s="1">
        <v>7698</v>
      </c>
      <c r="I289" s="1">
        <v>5888.59</v>
      </c>
      <c r="J289" s="1">
        <v>1809.41</v>
      </c>
      <c r="K289" s="8" t="str">
        <f t="shared" si="4"/>
        <v>Sep</v>
      </c>
    </row>
    <row r="290" spans="1:11">
      <c r="A290" s="1" t="s">
        <v>314</v>
      </c>
      <c r="B290" s="2">
        <v>45865</v>
      </c>
      <c r="C290" s="1" t="s">
        <v>12</v>
      </c>
      <c r="D290" s="1" t="s">
        <v>29</v>
      </c>
      <c r="E290" s="1" t="s">
        <v>33</v>
      </c>
      <c r="F290" s="1">
        <v>238</v>
      </c>
      <c r="G290" s="1">
        <v>12.02</v>
      </c>
      <c r="H290" s="1">
        <v>2860.76</v>
      </c>
      <c r="I290" s="1">
        <v>2105.5</v>
      </c>
      <c r="J290" s="1">
        <v>755.26</v>
      </c>
      <c r="K290" s="8" t="str">
        <f t="shared" si="4"/>
        <v>Jul</v>
      </c>
    </row>
    <row r="291" spans="1:11">
      <c r="A291" s="1" t="s">
        <v>315</v>
      </c>
      <c r="B291" s="2">
        <v>45737</v>
      </c>
      <c r="C291" s="1" t="s">
        <v>16</v>
      </c>
      <c r="D291" s="1" t="s">
        <v>29</v>
      </c>
      <c r="E291" s="1" t="s">
        <v>18</v>
      </c>
      <c r="F291" s="1">
        <v>253</v>
      </c>
      <c r="G291" s="1">
        <v>33.1</v>
      </c>
      <c r="H291" s="1">
        <v>8374.2999999999993</v>
      </c>
      <c r="I291" s="1">
        <v>5943.75</v>
      </c>
      <c r="J291" s="1">
        <v>2430.5500000000002</v>
      </c>
      <c r="K291" s="8" t="str">
        <f t="shared" si="4"/>
        <v>Mar</v>
      </c>
    </row>
    <row r="292" spans="1:11">
      <c r="A292" s="1" t="s">
        <v>316</v>
      </c>
      <c r="B292" s="2">
        <v>45766</v>
      </c>
      <c r="C292" s="1" t="s">
        <v>16</v>
      </c>
      <c r="D292" s="1" t="s">
        <v>29</v>
      </c>
      <c r="E292" s="1" t="s">
        <v>33</v>
      </c>
      <c r="F292" s="1">
        <v>87</v>
      </c>
      <c r="G292" s="1">
        <v>28.81</v>
      </c>
      <c r="H292" s="1">
        <v>2506.4699999999998</v>
      </c>
      <c r="I292" s="1">
        <v>1717.93</v>
      </c>
      <c r="J292" s="1">
        <v>788.54</v>
      </c>
      <c r="K292" s="8" t="str">
        <f t="shared" si="4"/>
        <v>Apr</v>
      </c>
    </row>
    <row r="293" spans="1:11">
      <c r="A293" s="1" t="s">
        <v>317</v>
      </c>
      <c r="B293" s="2">
        <v>45720</v>
      </c>
      <c r="C293" s="1" t="s">
        <v>28</v>
      </c>
      <c r="D293" s="1" t="s">
        <v>13</v>
      </c>
      <c r="E293" s="1" t="s">
        <v>14</v>
      </c>
      <c r="F293" s="1">
        <v>55</v>
      </c>
      <c r="G293" s="1">
        <v>16.55</v>
      </c>
      <c r="H293" s="1">
        <v>910.25</v>
      </c>
      <c r="I293" s="1">
        <v>568.24</v>
      </c>
      <c r="J293" s="1">
        <v>342.01</v>
      </c>
      <c r="K293" s="8" t="str">
        <f t="shared" si="4"/>
        <v>Mar</v>
      </c>
    </row>
    <row r="294" spans="1:11">
      <c r="A294" s="1" t="s">
        <v>318</v>
      </c>
      <c r="B294" s="2">
        <v>45949</v>
      </c>
      <c r="C294" s="1" t="s">
        <v>16</v>
      </c>
      <c r="D294" s="1" t="s">
        <v>17</v>
      </c>
      <c r="E294" s="1" t="s">
        <v>33</v>
      </c>
      <c r="F294" s="1">
        <v>134</v>
      </c>
      <c r="G294" s="1">
        <v>23.52</v>
      </c>
      <c r="H294" s="1">
        <v>3151.68</v>
      </c>
      <c r="I294" s="1">
        <v>2360.11</v>
      </c>
      <c r="J294" s="1">
        <v>791.57</v>
      </c>
      <c r="K294" s="8" t="str">
        <f t="shared" si="4"/>
        <v>Oct</v>
      </c>
    </row>
    <row r="295" spans="1:11">
      <c r="A295" s="1" t="s">
        <v>319</v>
      </c>
      <c r="B295" s="2">
        <v>46013</v>
      </c>
      <c r="C295" s="1" t="s">
        <v>36</v>
      </c>
      <c r="D295" s="1" t="s">
        <v>29</v>
      </c>
      <c r="E295" s="1" t="s">
        <v>33</v>
      </c>
      <c r="F295" s="1">
        <v>84</v>
      </c>
      <c r="G295" s="1">
        <v>31.89</v>
      </c>
      <c r="H295" s="1">
        <v>2678.76</v>
      </c>
      <c r="I295" s="1">
        <v>1652.41</v>
      </c>
      <c r="J295" s="1">
        <v>1026.3499999999999</v>
      </c>
      <c r="K295" s="8" t="str">
        <f t="shared" si="4"/>
        <v>Dec</v>
      </c>
    </row>
    <row r="296" spans="1:11">
      <c r="A296" s="1" t="s">
        <v>320</v>
      </c>
      <c r="B296" s="2">
        <v>45913</v>
      </c>
      <c r="C296" s="1" t="s">
        <v>16</v>
      </c>
      <c r="D296" s="1" t="s">
        <v>29</v>
      </c>
      <c r="E296" s="1" t="s">
        <v>26</v>
      </c>
      <c r="F296" s="1">
        <v>245</v>
      </c>
      <c r="G296" s="1">
        <v>30.09</v>
      </c>
      <c r="H296" s="1">
        <v>7372.05</v>
      </c>
      <c r="I296" s="1">
        <v>5735.47</v>
      </c>
      <c r="J296" s="1">
        <v>1636.58</v>
      </c>
      <c r="K296" s="8" t="str">
        <f t="shared" si="4"/>
        <v>Sep</v>
      </c>
    </row>
    <row r="297" spans="1:11">
      <c r="A297" s="1" t="s">
        <v>321</v>
      </c>
      <c r="B297" s="2">
        <v>45663</v>
      </c>
      <c r="C297" s="1" t="s">
        <v>12</v>
      </c>
      <c r="D297" s="1" t="s">
        <v>13</v>
      </c>
      <c r="E297" s="1" t="s">
        <v>18</v>
      </c>
      <c r="F297" s="1">
        <v>41</v>
      </c>
      <c r="G297" s="1">
        <v>10.44</v>
      </c>
      <c r="H297" s="1">
        <v>428.04</v>
      </c>
      <c r="I297" s="1">
        <v>312.52999999999997</v>
      </c>
      <c r="J297" s="1">
        <v>115.51</v>
      </c>
      <c r="K297" s="8" t="str">
        <f t="shared" si="4"/>
        <v>Jan</v>
      </c>
    </row>
    <row r="298" spans="1:11">
      <c r="A298" s="1" t="s">
        <v>322</v>
      </c>
      <c r="B298" s="2">
        <v>45817</v>
      </c>
      <c r="C298" s="1" t="s">
        <v>28</v>
      </c>
      <c r="D298" s="1" t="s">
        <v>29</v>
      </c>
      <c r="E298" s="1" t="s">
        <v>26</v>
      </c>
      <c r="F298" s="1">
        <v>169</v>
      </c>
      <c r="G298" s="1">
        <v>31.88</v>
      </c>
      <c r="H298" s="1">
        <v>5387.72</v>
      </c>
      <c r="I298" s="1">
        <v>3411.5</v>
      </c>
      <c r="J298" s="1">
        <v>1976.22</v>
      </c>
      <c r="K298" s="8" t="str">
        <f t="shared" si="4"/>
        <v>Jun</v>
      </c>
    </row>
    <row r="299" spans="1:11">
      <c r="A299" s="1" t="s">
        <v>323</v>
      </c>
      <c r="B299" s="2">
        <v>45819</v>
      </c>
      <c r="C299" s="1" t="s">
        <v>28</v>
      </c>
      <c r="D299" s="1" t="s">
        <v>29</v>
      </c>
      <c r="E299" s="1" t="s">
        <v>20</v>
      </c>
      <c r="F299" s="1">
        <v>198</v>
      </c>
      <c r="G299" s="1">
        <v>38.46</v>
      </c>
      <c r="H299" s="1">
        <v>7615.08</v>
      </c>
      <c r="I299" s="1">
        <v>5677.45</v>
      </c>
      <c r="J299" s="1">
        <v>1937.63</v>
      </c>
      <c r="K299" s="8" t="str">
        <f t="shared" si="4"/>
        <v>Jun</v>
      </c>
    </row>
    <row r="300" spans="1:11">
      <c r="A300" s="1" t="s">
        <v>324</v>
      </c>
      <c r="B300" s="2">
        <v>45732</v>
      </c>
      <c r="C300" s="1" t="s">
        <v>36</v>
      </c>
      <c r="D300" s="1" t="s">
        <v>17</v>
      </c>
      <c r="E300" s="1" t="s">
        <v>18</v>
      </c>
      <c r="F300" s="1">
        <v>69</v>
      </c>
      <c r="G300" s="1">
        <v>20.9</v>
      </c>
      <c r="H300" s="1">
        <v>1442.1</v>
      </c>
      <c r="I300" s="1">
        <v>1051.26</v>
      </c>
      <c r="J300" s="1">
        <v>390.84</v>
      </c>
      <c r="K300" s="8" t="str">
        <f t="shared" si="4"/>
        <v>Mar</v>
      </c>
    </row>
    <row r="301" spans="1:11">
      <c r="A301" s="1" t="s">
        <v>325</v>
      </c>
      <c r="B301" s="2">
        <v>45855</v>
      </c>
      <c r="C301" s="1" t="s">
        <v>12</v>
      </c>
      <c r="D301" s="1" t="s">
        <v>17</v>
      </c>
      <c r="E301" s="1" t="s">
        <v>14</v>
      </c>
      <c r="F301" s="1">
        <v>241</v>
      </c>
      <c r="G301" s="1">
        <v>38.35</v>
      </c>
      <c r="H301" s="1">
        <v>9242.35</v>
      </c>
      <c r="I301" s="1">
        <v>6995.76</v>
      </c>
      <c r="J301" s="1">
        <v>2246.59</v>
      </c>
      <c r="K301" s="8" t="str">
        <f t="shared" si="4"/>
        <v>Jul</v>
      </c>
    </row>
    <row r="302" spans="1:11">
      <c r="A302" s="1" t="s">
        <v>326</v>
      </c>
      <c r="B302" s="2">
        <v>45801</v>
      </c>
      <c r="C302" s="1" t="s">
        <v>12</v>
      </c>
      <c r="D302" s="1" t="s">
        <v>17</v>
      </c>
      <c r="E302" s="1" t="s">
        <v>23</v>
      </c>
      <c r="F302" s="1">
        <v>41</v>
      </c>
      <c r="G302" s="1">
        <v>28.66</v>
      </c>
      <c r="H302" s="1">
        <v>1175.06</v>
      </c>
      <c r="I302" s="1">
        <v>858.02</v>
      </c>
      <c r="J302" s="1">
        <v>317.04000000000002</v>
      </c>
      <c r="K302" s="8" t="str">
        <f t="shared" si="4"/>
        <v>May</v>
      </c>
    </row>
    <row r="303" spans="1:11">
      <c r="A303" s="1" t="s">
        <v>327</v>
      </c>
      <c r="B303" s="2">
        <v>45665</v>
      </c>
      <c r="C303" s="1" t="s">
        <v>28</v>
      </c>
      <c r="D303" s="1" t="s">
        <v>13</v>
      </c>
      <c r="E303" s="1" t="s">
        <v>18</v>
      </c>
      <c r="F303" s="1">
        <v>87</v>
      </c>
      <c r="G303" s="1">
        <v>28.03</v>
      </c>
      <c r="H303" s="1">
        <v>2438.61</v>
      </c>
      <c r="I303" s="1">
        <v>1613.68</v>
      </c>
      <c r="J303" s="1">
        <v>824.93</v>
      </c>
      <c r="K303" s="8" t="str">
        <f t="shared" si="4"/>
        <v>Jan</v>
      </c>
    </row>
    <row r="304" spans="1:11">
      <c r="A304" s="1" t="s">
        <v>328</v>
      </c>
      <c r="B304" s="2">
        <v>45856</v>
      </c>
      <c r="C304" s="1" t="s">
        <v>28</v>
      </c>
      <c r="D304" s="1" t="s">
        <v>17</v>
      </c>
      <c r="E304" s="1" t="s">
        <v>33</v>
      </c>
      <c r="F304" s="1">
        <v>202</v>
      </c>
      <c r="G304" s="1">
        <v>28.05</v>
      </c>
      <c r="H304" s="1">
        <v>5666.1</v>
      </c>
      <c r="I304" s="1">
        <v>4415.16</v>
      </c>
      <c r="J304" s="1">
        <v>1250.94</v>
      </c>
      <c r="K304" s="8" t="str">
        <f t="shared" si="4"/>
        <v>Jul</v>
      </c>
    </row>
    <row r="305" spans="1:11">
      <c r="A305" s="1" t="s">
        <v>329</v>
      </c>
      <c r="B305" s="2">
        <v>45658</v>
      </c>
      <c r="C305" s="1" t="s">
        <v>12</v>
      </c>
      <c r="D305" s="1" t="s">
        <v>13</v>
      </c>
      <c r="E305" s="1" t="s">
        <v>14</v>
      </c>
      <c r="F305" s="1">
        <v>174</v>
      </c>
      <c r="G305" s="1">
        <v>17.89</v>
      </c>
      <c r="H305" s="1">
        <v>3112.86</v>
      </c>
      <c r="I305" s="1">
        <v>2130.75</v>
      </c>
      <c r="J305" s="1">
        <v>982.11</v>
      </c>
      <c r="K305" s="8" t="str">
        <f t="shared" si="4"/>
        <v>Jan</v>
      </c>
    </row>
    <row r="306" spans="1:11">
      <c r="A306" s="1" t="s">
        <v>330</v>
      </c>
      <c r="B306" s="2">
        <v>45730</v>
      </c>
      <c r="C306" s="1" t="s">
        <v>12</v>
      </c>
      <c r="D306" s="1" t="s">
        <v>29</v>
      </c>
      <c r="E306" s="1" t="s">
        <v>18</v>
      </c>
      <c r="F306" s="1">
        <v>85</v>
      </c>
      <c r="G306" s="1">
        <v>18.22</v>
      </c>
      <c r="H306" s="1">
        <v>1548.7</v>
      </c>
      <c r="I306" s="1">
        <v>1192.8699999999999</v>
      </c>
      <c r="J306" s="1">
        <v>355.83</v>
      </c>
      <c r="K306" s="8" t="str">
        <f t="shared" si="4"/>
        <v>Mar</v>
      </c>
    </row>
    <row r="307" spans="1:11">
      <c r="A307" s="1" t="s">
        <v>331</v>
      </c>
      <c r="B307" s="2">
        <v>45835</v>
      </c>
      <c r="C307" s="1" t="s">
        <v>28</v>
      </c>
      <c r="D307" s="1" t="s">
        <v>13</v>
      </c>
      <c r="E307" s="1" t="s">
        <v>33</v>
      </c>
      <c r="F307" s="1">
        <v>283</v>
      </c>
      <c r="G307" s="1">
        <v>12.55</v>
      </c>
      <c r="H307" s="1">
        <v>3551.65</v>
      </c>
      <c r="I307" s="1">
        <v>2524.2800000000002</v>
      </c>
      <c r="J307" s="1">
        <v>1027.3699999999999</v>
      </c>
      <c r="K307" s="8" t="str">
        <f t="shared" si="4"/>
        <v>Jun</v>
      </c>
    </row>
    <row r="308" spans="1:11">
      <c r="A308" s="1" t="s">
        <v>332</v>
      </c>
      <c r="B308" s="2">
        <v>45777</v>
      </c>
      <c r="C308" s="1" t="s">
        <v>28</v>
      </c>
      <c r="D308" s="1" t="s">
        <v>29</v>
      </c>
      <c r="E308" s="1" t="s">
        <v>20</v>
      </c>
      <c r="F308" s="1">
        <v>168</v>
      </c>
      <c r="G308" s="1">
        <v>28.21</v>
      </c>
      <c r="H308" s="1">
        <v>4739.28</v>
      </c>
      <c r="I308" s="1">
        <v>3485.89</v>
      </c>
      <c r="J308" s="1">
        <v>1253.3900000000001</v>
      </c>
      <c r="K308" s="8" t="str">
        <f t="shared" si="4"/>
        <v>Apr</v>
      </c>
    </row>
    <row r="309" spans="1:11">
      <c r="A309" s="1" t="s">
        <v>333</v>
      </c>
      <c r="B309" s="2">
        <v>45788</v>
      </c>
      <c r="C309" s="1" t="s">
        <v>16</v>
      </c>
      <c r="D309" s="1" t="s">
        <v>29</v>
      </c>
      <c r="E309" s="1" t="s">
        <v>14</v>
      </c>
      <c r="F309" s="1">
        <v>14</v>
      </c>
      <c r="G309" s="1">
        <v>33.75</v>
      </c>
      <c r="H309" s="1">
        <v>472.5</v>
      </c>
      <c r="I309" s="1">
        <v>326.94</v>
      </c>
      <c r="J309" s="1">
        <v>145.56</v>
      </c>
      <c r="K309" s="8" t="str">
        <f t="shared" si="4"/>
        <v>May</v>
      </c>
    </row>
    <row r="310" spans="1:11">
      <c r="A310" s="1" t="s">
        <v>334</v>
      </c>
      <c r="B310" s="2">
        <v>45690</v>
      </c>
      <c r="C310" s="1" t="s">
        <v>31</v>
      </c>
      <c r="D310" s="1" t="s">
        <v>29</v>
      </c>
      <c r="E310" s="1" t="s">
        <v>14</v>
      </c>
      <c r="F310" s="1">
        <v>129</v>
      </c>
      <c r="G310" s="1">
        <v>21.95</v>
      </c>
      <c r="H310" s="1">
        <v>2831.55</v>
      </c>
      <c r="I310" s="1">
        <v>1994</v>
      </c>
      <c r="J310" s="1">
        <v>837.55</v>
      </c>
      <c r="K310" s="8" t="str">
        <f t="shared" si="4"/>
        <v>Feb</v>
      </c>
    </row>
    <row r="311" spans="1:11">
      <c r="A311" s="1" t="s">
        <v>335</v>
      </c>
      <c r="B311" s="2">
        <v>45902</v>
      </c>
      <c r="C311" s="1" t="s">
        <v>22</v>
      </c>
      <c r="D311" s="1" t="s">
        <v>13</v>
      </c>
      <c r="E311" s="1" t="s">
        <v>20</v>
      </c>
      <c r="F311" s="1">
        <v>269</v>
      </c>
      <c r="G311" s="1">
        <v>27.68</v>
      </c>
      <c r="H311" s="1">
        <v>7445.92</v>
      </c>
      <c r="I311" s="1">
        <v>4749.2299999999996</v>
      </c>
      <c r="J311" s="1">
        <v>2696.69</v>
      </c>
      <c r="K311" s="8" t="str">
        <f t="shared" si="4"/>
        <v>Sep</v>
      </c>
    </row>
    <row r="312" spans="1:11">
      <c r="A312" s="1" t="s">
        <v>336</v>
      </c>
      <c r="B312" s="2">
        <v>46016</v>
      </c>
      <c r="C312" s="1" t="s">
        <v>28</v>
      </c>
      <c r="D312" s="1" t="s">
        <v>29</v>
      </c>
      <c r="E312" s="1" t="s">
        <v>20</v>
      </c>
      <c r="F312" s="1">
        <v>158</v>
      </c>
      <c r="G312" s="1">
        <v>20.88</v>
      </c>
      <c r="H312" s="1">
        <v>3299.04</v>
      </c>
      <c r="I312" s="1">
        <v>2351.84</v>
      </c>
      <c r="J312" s="1">
        <v>947.2</v>
      </c>
      <c r="K312" s="8" t="str">
        <f t="shared" si="4"/>
        <v>Dec</v>
      </c>
    </row>
    <row r="313" spans="1:11">
      <c r="A313" s="1" t="s">
        <v>337</v>
      </c>
      <c r="B313" s="2">
        <v>45784</v>
      </c>
      <c r="C313" s="1" t="s">
        <v>16</v>
      </c>
      <c r="D313" s="1" t="s">
        <v>17</v>
      </c>
      <c r="E313" s="1" t="s">
        <v>33</v>
      </c>
      <c r="F313" s="1">
        <v>32</v>
      </c>
      <c r="G313" s="1">
        <v>37.68</v>
      </c>
      <c r="H313" s="1">
        <v>1205.76</v>
      </c>
      <c r="I313" s="1">
        <v>842.41</v>
      </c>
      <c r="J313" s="1">
        <v>363.35</v>
      </c>
      <c r="K313" s="8" t="str">
        <f t="shared" si="4"/>
        <v>May</v>
      </c>
    </row>
    <row r="314" spans="1:11">
      <c r="A314" s="1" t="s">
        <v>338</v>
      </c>
      <c r="B314" s="2">
        <v>45895</v>
      </c>
      <c r="C314" s="1" t="s">
        <v>31</v>
      </c>
      <c r="D314" s="1" t="s">
        <v>17</v>
      </c>
      <c r="E314" s="1" t="s">
        <v>23</v>
      </c>
      <c r="F314" s="1">
        <v>51</v>
      </c>
      <c r="G314" s="1">
        <v>14.68</v>
      </c>
      <c r="H314" s="1">
        <v>748.68</v>
      </c>
      <c r="I314" s="1">
        <v>538.63</v>
      </c>
      <c r="J314" s="1">
        <v>210.05</v>
      </c>
      <c r="K314" s="8" t="str">
        <f t="shared" si="4"/>
        <v>Aug</v>
      </c>
    </row>
    <row r="315" spans="1:11">
      <c r="A315" s="1" t="s">
        <v>339</v>
      </c>
      <c r="B315" s="2">
        <v>45968</v>
      </c>
      <c r="C315" s="1" t="s">
        <v>12</v>
      </c>
      <c r="D315" s="1" t="s">
        <v>17</v>
      </c>
      <c r="E315" s="1" t="s">
        <v>23</v>
      </c>
      <c r="F315" s="1">
        <v>20</v>
      </c>
      <c r="G315" s="1">
        <v>12.82</v>
      </c>
      <c r="H315" s="1">
        <v>256.39999999999998</v>
      </c>
      <c r="I315" s="1">
        <v>164.33</v>
      </c>
      <c r="J315" s="1">
        <v>92.07</v>
      </c>
      <c r="K315" s="8" t="str">
        <f t="shared" si="4"/>
        <v>Nov</v>
      </c>
    </row>
    <row r="316" spans="1:11">
      <c r="A316" s="1" t="s">
        <v>340</v>
      </c>
      <c r="B316" s="2">
        <v>45948</v>
      </c>
      <c r="C316" s="1" t="s">
        <v>28</v>
      </c>
      <c r="D316" s="1" t="s">
        <v>13</v>
      </c>
      <c r="E316" s="1" t="s">
        <v>18</v>
      </c>
      <c r="F316" s="1">
        <v>119</v>
      </c>
      <c r="G316" s="1">
        <v>17.850000000000001</v>
      </c>
      <c r="H316" s="1">
        <v>2124.15</v>
      </c>
      <c r="I316" s="1">
        <v>1605.51</v>
      </c>
      <c r="J316" s="1">
        <v>518.64</v>
      </c>
      <c r="K316" s="8" t="str">
        <f t="shared" si="4"/>
        <v>Oct</v>
      </c>
    </row>
    <row r="317" spans="1:11">
      <c r="A317" s="1" t="s">
        <v>341</v>
      </c>
      <c r="B317" s="2">
        <v>45961</v>
      </c>
      <c r="C317" s="1" t="s">
        <v>22</v>
      </c>
      <c r="D317" s="1" t="s">
        <v>13</v>
      </c>
      <c r="E317" s="1" t="s">
        <v>18</v>
      </c>
      <c r="F317" s="1">
        <v>77</v>
      </c>
      <c r="G317" s="1">
        <v>17.62</v>
      </c>
      <c r="H317" s="1">
        <v>1356.74</v>
      </c>
      <c r="I317" s="1">
        <v>824.32</v>
      </c>
      <c r="J317" s="1">
        <v>532.41999999999996</v>
      </c>
      <c r="K317" s="8" t="str">
        <f t="shared" si="4"/>
        <v>Oct</v>
      </c>
    </row>
    <row r="318" spans="1:11">
      <c r="A318" s="1" t="s">
        <v>342</v>
      </c>
      <c r="B318" s="2">
        <v>45700</v>
      </c>
      <c r="C318" s="1" t="s">
        <v>36</v>
      </c>
      <c r="D318" s="1" t="s">
        <v>17</v>
      </c>
      <c r="E318" s="1" t="s">
        <v>18</v>
      </c>
      <c r="F318" s="1">
        <v>24</v>
      </c>
      <c r="G318" s="1">
        <v>11.53</v>
      </c>
      <c r="H318" s="1">
        <v>276.72000000000003</v>
      </c>
      <c r="I318" s="1">
        <v>196.88</v>
      </c>
      <c r="J318" s="1">
        <v>79.84</v>
      </c>
      <c r="K318" s="8" t="str">
        <f t="shared" si="4"/>
        <v>Feb</v>
      </c>
    </row>
    <row r="319" spans="1:11">
      <c r="A319" s="1" t="s">
        <v>343</v>
      </c>
      <c r="B319" s="2">
        <v>45690</v>
      </c>
      <c r="C319" s="1" t="s">
        <v>16</v>
      </c>
      <c r="D319" s="1" t="s">
        <v>17</v>
      </c>
      <c r="E319" s="1" t="s">
        <v>14</v>
      </c>
      <c r="F319" s="1">
        <v>213</v>
      </c>
      <c r="G319" s="1">
        <v>37.659999999999997</v>
      </c>
      <c r="H319" s="1">
        <v>8021.58</v>
      </c>
      <c r="I319" s="1">
        <v>5946.2</v>
      </c>
      <c r="J319" s="1">
        <v>2075.38</v>
      </c>
      <c r="K319" s="8" t="str">
        <f t="shared" si="4"/>
        <v>Feb</v>
      </c>
    </row>
    <row r="320" spans="1:11">
      <c r="A320" s="1" t="s">
        <v>344</v>
      </c>
      <c r="B320" s="2">
        <v>45947</v>
      </c>
      <c r="C320" s="1" t="s">
        <v>36</v>
      </c>
      <c r="D320" s="1" t="s">
        <v>29</v>
      </c>
      <c r="E320" s="1" t="s">
        <v>18</v>
      </c>
      <c r="F320" s="1">
        <v>129</v>
      </c>
      <c r="G320" s="1">
        <v>29.22</v>
      </c>
      <c r="H320" s="1">
        <v>3769.38</v>
      </c>
      <c r="I320" s="1">
        <v>2982.65</v>
      </c>
      <c r="J320" s="1">
        <v>786.73</v>
      </c>
      <c r="K320" s="8" t="str">
        <f t="shared" si="4"/>
        <v>Oct</v>
      </c>
    </row>
    <row r="321" spans="1:11">
      <c r="A321" s="1" t="s">
        <v>345</v>
      </c>
      <c r="B321" s="2">
        <v>45751</v>
      </c>
      <c r="C321" s="1" t="s">
        <v>22</v>
      </c>
      <c r="D321" s="1" t="s">
        <v>29</v>
      </c>
      <c r="E321" s="1" t="s">
        <v>20</v>
      </c>
      <c r="F321" s="1">
        <v>239</v>
      </c>
      <c r="G321" s="1">
        <v>35.49</v>
      </c>
      <c r="H321" s="1">
        <v>8482.11</v>
      </c>
      <c r="I321" s="1">
        <v>5718.49</v>
      </c>
      <c r="J321" s="1">
        <v>2763.62</v>
      </c>
      <c r="K321" s="8" t="str">
        <f t="shared" si="4"/>
        <v>Apr</v>
      </c>
    </row>
    <row r="322" spans="1:11">
      <c r="A322" s="1" t="s">
        <v>346</v>
      </c>
      <c r="B322" s="2">
        <v>45746</v>
      </c>
      <c r="C322" s="1" t="s">
        <v>16</v>
      </c>
      <c r="D322" s="1" t="s">
        <v>29</v>
      </c>
      <c r="E322" s="1" t="s">
        <v>26</v>
      </c>
      <c r="F322" s="1">
        <v>29</v>
      </c>
      <c r="G322" s="1">
        <v>38.25</v>
      </c>
      <c r="H322" s="1">
        <v>1109.25</v>
      </c>
      <c r="I322" s="1">
        <v>874.35</v>
      </c>
      <c r="J322" s="1">
        <v>234.9</v>
      </c>
      <c r="K322" s="8" t="str">
        <f t="shared" ref="K322:K385" si="5">TEXT(B322,"mmm")</f>
        <v>Mar</v>
      </c>
    </row>
    <row r="323" spans="1:11">
      <c r="A323" s="1" t="s">
        <v>347</v>
      </c>
      <c r="B323" s="2">
        <v>45682</v>
      </c>
      <c r="C323" s="1" t="s">
        <v>36</v>
      </c>
      <c r="D323" s="1" t="s">
        <v>17</v>
      </c>
      <c r="E323" s="1" t="s">
        <v>26</v>
      </c>
      <c r="F323" s="1">
        <v>142</v>
      </c>
      <c r="G323" s="1">
        <v>33.590000000000003</v>
      </c>
      <c r="H323" s="1">
        <v>4769.78</v>
      </c>
      <c r="I323" s="1">
        <v>3538.8</v>
      </c>
      <c r="J323" s="1">
        <v>1230.98</v>
      </c>
      <c r="K323" s="8" t="str">
        <f t="shared" si="5"/>
        <v>Jan</v>
      </c>
    </row>
    <row r="324" spans="1:11">
      <c r="A324" s="1" t="s">
        <v>348</v>
      </c>
      <c r="B324" s="2">
        <v>45709</v>
      </c>
      <c r="C324" s="1" t="s">
        <v>22</v>
      </c>
      <c r="D324" s="1" t="s">
        <v>29</v>
      </c>
      <c r="E324" s="1" t="s">
        <v>33</v>
      </c>
      <c r="F324" s="1">
        <v>84</v>
      </c>
      <c r="G324" s="1">
        <v>19.53</v>
      </c>
      <c r="H324" s="1">
        <v>1640.52</v>
      </c>
      <c r="I324" s="1">
        <v>986.21</v>
      </c>
      <c r="J324" s="1">
        <v>654.30999999999995</v>
      </c>
      <c r="K324" s="8" t="str">
        <f t="shared" si="5"/>
        <v>Feb</v>
      </c>
    </row>
    <row r="325" spans="1:11">
      <c r="A325" s="1" t="s">
        <v>349</v>
      </c>
      <c r="B325" s="2">
        <v>45810</v>
      </c>
      <c r="C325" s="1" t="s">
        <v>31</v>
      </c>
      <c r="D325" s="1" t="s">
        <v>17</v>
      </c>
      <c r="E325" s="1" t="s">
        <v>14</v>
      </c>
      <c r="F325" s="1">
        <v>235</v>
      </c>
      <c r="G325" s="1">
        <v>32.74</v>
      </c>
      <c r="H325" s="1">
        <v>7693.9</v>
      </c>
      <c r="I325" s="1">
        <v>4778.5600000000004</v>
      </c>
      <c r="J325" s="1">
        <v>2915.34</v>
      </c>
      <c r="K325" s="8" t="str">
        <f t="shared" si="5"/>
        <v>Jun</v>
      </c>
    </row>
    <row r="326" spans="1:11">
      <c r="A326" s="1" t="s">
        <v>350</v>
      </c>
      <c r="B326" s="2">
        <v>45857</v>
      </c>
      <c r="C326" s="1" t="s">
        <v>28</v>
      </c>
      <c r="D326" s="1" t="s">
        <v>13</v>
      </c>
      <c r="E326" s="1" t="s">
        <v>20</v>
      </c>
      <c r="F326" s="1">
        <v>73</v>
      </c>
      <c r="G326" s="1">
        <v>21.25</v>
      </c>
      <c r="H326" s="1">
        <v>1551.25</v>
      </c>
      <c r="I326" s="1">
        <v>1048.54</v>
      </c>
      <c r="J326" s="1">
        <v>502.71</v>
      </c>
      <c r="K326" s="8" t="str">
        <f t="shared" si="5"/>
        <v>Jul</v>
      </c>
    </row>
    <row r="327" spans="1:11">
      <c r="A327" s="1" t="s">
        <v>351</v>
      </c>
      <c r="B327" s="2">
        <v>46004</v>
      </c>
      <c r="C327" s="1" t="s">
        <v>16</v>
      </c>
      <c r="D327" s="1" t="s">
        <v>13</v>
      </c>
      <c r="E327" s="1" t="s">
        <v>20</v>
      </c>
      <c r="F327" s="1">
        <v>16</v>
      </c>
      <c r="G327" s="1">
        <v>24.04</v>
      </c>
      <c r="H327" s="1">
        <v>384.64</v>
      </c>
      <c r="I327" s="1">
        <v>300.99</v>
      </c>
      <c r="J327" s="1">
        <v>83.65</v>
      </c>
      <c r="K327" s="8" t="str">
        <f t="shared" si="5"/>
        <v>Dec</v>
      </c>
    </row>
    <row r="328" spans="1:11">
      <c r="A328" s="1" t="s">
        <v>352</v>
      </c>
      <c r="B328" s="2">
        <v>45697</v>
      </c>
      <c r="C328" s="1" t="s">
        <v>28</v>
      </c>
      <c r="D328" s="1" t="s">
        <v>13</v>
      </c>
      <c r="E328" s="1" t="s">
        <v>18</v>
      </c>
      <c r="F328" s="1">
        <v>201</v>
      </c>
      <c r="G328" s="1">
        <v>36.659999999999997</v>
      </c>
      <c r="H328" s="1">
        <v>7368.66</v>
      </c>
      <c r="I328" s="1">
        <v>4627.17</v>
      </c>
      <c r="J328" s="1">
        <v>2741.49</v>
      </c>
      <c r="K328" s="8" t="str">
        <f t="shared" si="5"/>
        <v>Feb</v>
      </c>
    </row>
    <row r="329" spans="1:11">
      <c r="A329" s="1" t="s">
        <v>353</v>
      </c>
      <c r="B329" s="2">
        <v>45669</v>
      </c>
      <c r="C329" s="1" t="s">
        <v>22</v>
      </c>
      <c r="D329" s="1" t="s">
        <v>17</v>
      </c>
      <c r="E329" s="1" t="s">
        <v>26</v>
      </c>
      <c r="F329" s="1">
        <v>48</v>
      </c>
      <c r="G329" s="1">
        <v>23.57</v>
      </c>
      <c r="H329" s="1">
        <v>1131.3599999999999</v>
      </c>
      <c r="I329" s="1">
        <v>755.7</v>
      </c>
      <c r="J329" s="1">
        <v>375.66</v>
      </c>
      <c r="K329" s="8" t="str">
        <f t="shared" si="5"/>
        <v>Jan</v>
      </c>
    </row>
    <row r="330" spans="1:11">
      <c r="A330" s="1" t="s">
        <v>354</v>
      </c>
      <c r="B330" s="2">
        <v>45979</v>
      </c>
      <c r="C330" s="1" t="s">
        <v>16</v>
      </c>
      <c r="D330" s="1" t="s">
        <v>13</v>
      </c>
      <c r="E330" s="1" t="s">
        <v>33</v>
      </c>
      <c r="F330" s="1">
        <v>197</v>
      </c>
      <c r="G330" s="1">
        <v>14.28</v>
      </c>
      <c r="H330" s="1">
        <v>2813.16</v>
      </c>
      <c r="I330" s="1">
        <v>1812.6</v>
      </c>
      <c r="J330" s="1">
        <v>1000.56</v>
      </c>
      <c r="K330" s="8" t="str">
        <f t="shared" si="5"/>
        <v>Nov</v>
      </c>
    </row>
    <row r="331" spans="1:11">
      <c r="A331" s="1" t="s">
        <v>355</v>
      </c>
      <c r="B331" s="2">
        <v>45889</v>
      </c>
      <c r="C331" s="1" t="s">
        <v>22</v>
      </c>
      <c r="D331" s="1" t="s">
        <v>17</v>
      </c>
      <c r="E331" s="1" t="s">
        <v>18</v>
      </c>
      <c r="F331" s="1">
        <v>293</v>
      </c>
      <c r="G331" s="1">
        <v>36.68</v>
      </c>
      <c r="H331" s="1">
        <v>10747.24</v>
      </c>
      <c r="I331" s="1">
        <v>7391.89</v>
      </c>
      <c r="J331" s="1">
        <v>3355.35</v>
      </c>
      <c r="K331" s="8" t="str">
        <f t="shared" si="5"/>
        <v>Aug</v>
      </c>
    </row>
    <row r="332" spans="1:11">
      <c r="A332" s="1" t="s">
        <v>356</v>
      </c>
      <c r="B332" s="2">
        <v>45868</v>
      </c>
      <c r="C332" s="1" t="s">
        <v>31</v>
      </c>
      <c r="D332" s="1" t="s">
        <v>17</v>
      </c>
      <c r="E332" s="1" t="s">
        <v>20</v>
      </c>
      <c r="F332" s="1">
        <v>136</v>
      </c>
      <c r="G332" s="1">
        <v>14.67</v>
      </c>
      <c r="H332" s="1">
        <v>1995.12</v>
      </c>
      <c r="I332" s="1">
        <v>1305.25</v>
      </c>
      <c r="J332" s="1">
        <v>689.87</v>
      </c>
      <c r="K332" s="8" t="str">
        <f t="shared" si="5"/>
        <v>Jul</v>
      </c>
    </row>
    <row r="333" spans="1:11">
      <c r="A333" s="1" t="s">
        <v>357</v>
      </c>
      <c r="B333" s="2">
        <v>45791</v>
      </c>
      <c r="C333" s="1" t="s">
        <v>28</v>
      </c>
      <c r="D333" s="1" t="s">
        <v>13</v>
      </c>
      <c r="E333" s="1" t="s">
        <v>20</v>
      </c>
      <c r="F333" s="1">
        <v>261</v>
      </c>
      <c r="G333" s="1">
        <v>13.28</v>
      </c>
      <c r="H333" s="1">
        <v>3466.08</v>
      </c>
      <c r="I333" s="1">
        <v>2395.88</v>
      </c>
      <c r="J333" s="1">
        <v>1070.2</v>
      </c>
      <c r="K333" s="8" t="str">
        <f t="shared" si="5"/>
        <v>May</v>
      </c>
    </row>
    <row r="334" spans="1:11">
      <c r="A334" s="1" t="s">
        <v>358</v>
      </c>
      <c r="B334" s="2">
        <v>45920</v>
      </c>
      <c r="C334" s="1" t="s">
        <v>22</v>
      </c>
      <c r="D334" s="1" t="s">
        <v>29</v>
      </c>
      <c r="E334" s="1" t="s">
        <v>18</v>
      </c>
      <c r="F334" s="1">
        <v>39</v>
      </c>
      <c r="G334" s="1">
        <v>28.93</v>
      </c>
      <c r="H334" s="1">
        <v>1128.27</v>
      </c>
      <c r="I334" s="1">
        <v>854.69</v>
      </c>
      <c r="J334" s="1">
        <v>273.58</v>
      </c>
      <c r="K334" s="8" t="str">
        <f t="shared" si="5"/>
        <v>Sep</v>
      </c>
    </row>
    <row r="335" spans="1:11">
      <c r="A335" s="1" t="s">
        <v>359</v>
      </c>
      <c r="B335" s="2">
        <v>45804</v>
      </c>
      <c r="C335" s="1" t="s">
        <v>31</v>
      </c>
      <c r="D335" s="1" t="s">
        <v>17</v>
      </c>
      <c r="E335" s="1" t="s">
        <v>14</v>
      </c>
      <c r="F335" s="1">
        <v>71</v>
      </c>
      <c r="G335" s="1">
        <v>17.73</v>
      </c>
      <c r="H335" s="1">
        <v>1258.83</v>
      </c>
      <c r="I335" s="1">
        <v>806.06</v>
      </c>
      <c r="J335" s="1">
        <v>452.77</v>
      </c>
      <c r="K335" s="8" t="str">
        <f t="shared" si="5"/>
        <v>May</v>
      </c>
    </row>
    <row r="336" spans="1:11">
      <c r="A336" s="1" t="s">
        <v>360</v>
      </c>
      <c r="B336" s="2">
        <v>45780</v>
      </c>
      <c r="C336" s="1" t="s">
        <v>22</v>
      </c>
      <c r="D336" s="1" t="s">
        <v>13</v>
      </c>
      <c r="E336" s="1" t="s">
        <v>33</v>
      </c>
      <c r="F336" s="1">
        <v>131</v>
      </c>
      <c r="G336" s="1">
        <v>12.93</v>
      </c>
      <c r="H336" s="1">
        <v>1693.83</v>
      </c>
      <c r="I336" s="1">
        <v>1114.3499999999999</v>
      </c>
      <c r="J336" s="1">
        <v>579.48</v>
      </c>
      <c r="K336" s="8" t="str">
        <f t="shared" si="5"/>
        <v>May</v>
      </c>
    </row>
    <row r="337" spans="1:11">
      <c r="A337" s="1" t="s">
        <v>361</v>
      </c>
      <c r="B337" s="2">
        <v>45808</v>
      </c>
      <c r="C337" s="1" t="s">
        <v>12</v>
      </c>
      <c r="D337" s="1" t="s">
        <v>17</v>
      </c>
      <c r="E337" s="1" t="s">
        <v>23</v>
      </c>
      <c r="F337" s="1">
        <v>83</v>
      </c>
      <c r="G337" s="1">
        <v>39.36</v>
      </c>
      <c r="H337" s="1">
        <v>3266.88</v>
      </c>
      <c r="I337" s="1">
        <v>1970.6</v>
      </c>
      <c r="J337" s="1">
        <v>1296.28</v>
      </c>
      <c r="K337" s="8" t="str">
        <f t="shared" si="5"/>
        <v>May</v>
      </c>
    </row>
    <row r="338" spans="1:11">
      <c r="A338" s="1" t="s">
        <v>362</v>
      </c>
      <c r="B338" s="2">
        <v>45729</v>
      </c>
      <c r="C338" s="1" t="s">
        <v>12</v>
      </c>
      <c r="D338" s="1" t="s">
        <v>17</v>
      </c>
      <c r="E338" s="1" t="s">
        <v>20</v>
      </c>
      <c r="F338" s="1">
        <v>236</v>
      </c>
      <c r="G338" s="1">
        <v>10.06</v>
      </c>
      <c r="H338" s="1">
        <v>2374.16</v>
      </c>
      <c r="I338" s="1">
        <v>1819.67</v>
      </c>
      <c r="J338" s="1">
        <v>554.49</v>
      </c>
      <c r="K338" s="8" t="str">
        <f t="shared" si="5"/>
        <v>Mar</v>
      </c>
    </row>
    <row r="339" spans="1:11">
      <c r="A339" s="1" t="s">
        <v>363</v>
      </c>
      <c r="B339" s="2">
        <v>45842</v>
      </c>
      <c r="C339" s="1" t="s">
        <v>31</v>
      </c>
      <c r="D339" s="1" t="s">
        <v>29</v>
      </c>
      <c r="E339" s="1" t="s">
        <v>20</v>
      </c>
      <c r="F339" s="1">
        <v>232</v>
      </c>
      <c r="G339" s="1">
        <v>11.22</v>
      </c>
      <c r="H339" s="1">
        <v>2603.04</v>
      </c>
      <c r="I339" s="1">
        <v>1774.72</v>
      </c>
      <c r="J339" s="1">
        <v>828.32</v>
      </c>
      <c r="K339" s="8" t="str">
        <f t="shared" si="5"/>
        <v>Jul</v>
      </c>
    </row>
    <row r="340" spans="1:11">
      <c r="A340" s="1" t="s">
        <v>364</v>
      </c>
      <c r="B340" s="2">
        <v>45728</v>
      </c>
      <c r="C340" s="1" t="s">
        <v>22</v>
      </c>
      <c r="D340" s="1" t="s">
        <v>13</v>
      </c>
      <c r="E340" s="1" t="s">
        <v>23</v>
      </c>
      <c r="F340" s="1">
        <v>102</v>
      </c>
      <c r="G340" s="1">
        <v>25.65</v>
      </c>
      <c r="H340" s="1">
        <v>2616.3000000000002</v>
      </c>
      <c r="I340" s="1">
        <v>1690.35</v>
      </c>
      <c r="J340" s="1">
        <v>925.95</v>
      </c>
      <c r="K340" s="8" t="str">
        <f t="shared" si="5"/>
        <v>Mar</v>
      </c>
    </row>
    <row r="341" spans="1:11">
      <c r="A341" s="1" t="s">
        <v>365</v>
      </c>
      <c r="B341" s="2">
        <v>45698</v>
      </c>
      <c r="C341" s="1" t="s">
        <v>31</v>
      </c>
      <c r="D341" s="1" t="s">
        <v>13</v>
      </c>
      <c r="E341" s="1" t="s">
        <v>20</v>
      </c>
      <c r="F341" s="1">
        <v>54</v>
      </c>
      <c r="G341" s="1">
        <v>36.68</v>
      </c>
      <c r="H341" s="1">
        <v>1980.72</v>
      </c>
      <c r="I341" s="1">
        <v>1477.95</v>
      </c>
      <c r="J341" s="1">
        <v>502.77</v>
      </c>
      <c r="K341" s="8" t="str">
        <f t="shared" si="5"/>
        <v>Feb</v>
      </c>
    </row>
    <row r="342" spans="1:11">
      <c r="A342" s="1" t="s">
        <v>366</v>
      </c>
      <c r="B342" s="2">
        <v>45728</v>
      </c>
      <c r="C342" s="1" t="s">
        <v>16</v>
      </c>
      <c r="D342" s="1" t="s">
        <v>29</v>
      </c>
      <c r="E342" s="1" t="s">
        <v>33</v>
      </c>
      <c r="F342" s="1">
        <v>108</v>
      </c>
      <c r="G342" s="1">
        <v>27.49</v>
      </c>
      <c r="H342" s="1">
        <v>2968.92</v>
      </c>
      <c r="I342" s="1">
        <v>1901.47</v>
      </c>
      <c r="J342" s="1">
        <v>1067.45</v>
      </c>
      <c r="K342" s="8" t="str">
        <f t="shared" si="5"/>
        <v>Mar</v>
      </c>
    </row>
    <row r="343" spans="1:11">
      <c r="A343" s="1" t="s">
        <v>367</v>
      </c>
      <c r="B343" s="2">
        <v>45924</v>
      </c>
      <c r="C343" s="1" t="s">
        <v>12</v>
      </c>
      <c r="D343" s="1" t="s">
        <v>17</v>
      </c>
      <c r="E343" s="1" t="s">
        <v>14</v>
      </c>
      <c r="F343" s="1">
        <v>218</v>
      </c>
      <c r="G343" s="1">
        <v>35.229999999999997</v>
      </c>
      <c r="H343" s="1">
        <v>7680.14</v>
      </c>
      <c r="I343" s="1">
        <v>6015.47</v>
      </c>
      <c r="J343" s="1">
        <v>1664.67</v>
      </c>
      <c r="K343" s="8" t="str">
        <f t="shared" si="5"/>
        <v>Sep</v>
      </c>
    </row>
    <row r="344" spans="1:11">
      <c r="A344" s="1" t="s">
        <v>368</v>
      </c>
      <c r="B344" s="2">
        <v>45802</v>
      </c>
      <c r="C344" s="1" t="s">
        <v>28</v>
      </c>
      <c r="D344" s="1" t="s">
        <v>13</v>
      </c>
      <c r="E344" s="1" t="s">
        <v>33</v>
      </c>
      <c r="F344" s="1">
        <v>262</v>
      </c>
      <c r="G344" s="1">
        <v>12.71</v>
      </c>
      <c r="H344" s="1">
        <v>3330.02</v>
      </c>
      <c r="I344" s="1">
        <v>2270.75</v>
      </c>
      <c r="J344" s="1">
        <v>1059.27</v>
      </c>
      <c r="K344" s="8" t="str">
        <f t="shared" si="5"/>
        <v>May</v>
      </c>
    </row>
    <row r="345" spans="1:11">
      <c r="A345" s="1" t="s">
        <v>369</v>
      </c>
      <c r="B345" s="2">
        <v>45794</v>
      </c>
      <c r="C345" s="1" t="s">
        <v>31</v>
      </c>
      <c r="D345" s="1" t="s">
        <v>13</v>
      </c>
      <c r="E345" s="1" t="s">
        <v>20</v>
      </c>
      <c r="F345" s="1">
        <v>137</v>
      </c>
      <c r="G345" s="1">
        <v>15.58</v>
      </c>
      <c r="H345" s="1">
        <v>2134.46</v>
      </c>
      <c r="I345" s="1">
        <v>1635.69</v>
      </c>
      <c r="J345" s="1">
        <v>498.77</v>
      </c>
      <c r="K345" s="8" t="str">
        <f t="shared" si="5"/>
        <v>May</v>
      </c>
    </row>
    <row r="346" spans="1:11">
      <c r="A346" s="1" t="s">
        <v>370</v>
      </c>
      <c r="B346" s="2">
        <v>46017</v>
      </c>
      <c r="C346" s="1" t="s">
        <v>31</v>
      </c>
      <c r="D346" s="1" t="s">
        <v>29</v>
      </c>
      <c r="E346" s="1" t="s">
        <v>18</v>
      </c>
      <c r="F346" s="1">
        <v>200</v>
      </c>
      <c r="G346" s="1">
        <v>27.25</v>
      </c>
      <c r="H346" s="1">
        <v>5450</v>
      </c>
      <c r="I346" s="1">
        <v>4205.3</v>
      </c>
      <c r="J346" s="1">
        <v>1244.7</v>
      </c>
      <c r="K346" s="8" t="str">
        <f t="shared" si="5"/>
        <v>Dec</v>
      </c>
    </row>
    <row r="347" spans="1:11">
      <c r="A347" s="1" t="s">
        <v>371</v>
      </c>
      <c r="B347" s="2">
        <v>45922</v>
      </c>
      <c r="C347" s="1" t="s">
        <v>31</v>
      </c>
      <c r="D347" s="1" t="s">
        <v>29</v>
      </c>
      <c r="E347" s="1" t="s">
        <v>18</v>
      </c>
      <c r="F347" s="1">
        <v>46</v>
      </c>
      <c r="G347" s="1">
        <v>13.62</v>
      </c>
      <c r="H347" s="1">
        <v>626.52</v>
      </c>
      <c r="I347" s="1">
        <v>465.45</v>
      </c>
      <c r="J347" s="1">
        <v>161.07</v>
      </c>
      <c r="K347" s="8" t="str">
        <f t="shared" si="5"/>
        <v>Sep</v>
      </c>
    </row>
    <row r="348" spans="1:11">
      <c r="A348" s="1" t="s">
        <v>372</v>
      </c>
      <c r="B348" s="2">
        <v>45953</v>
      </c>
      <c r="C348" s="1" t="s">
        <v>36</v>
      </c>
      <c r="D348" s="1" t="s">
        <v>17</v>
      </c>
      <c r="E348" s="1" t="s">
        <v>18</v>
      </c>
      <c r="F348" s="1">
        <v>41</v>
      </c>
      <c r="G348" s="1">
        <v>18.75</v>
      </c>
      <c r="H348" s="1">
        <v>768.75</v>
      </c>
      <c r="I348" s="1">
        <v>477.81</v>
      </c>
      <c r="J348" s="1">
        <v>290.94</v>
      </c>
      <c r="K348" s="8" t="str">
        <f t="shared" si="5"/>
        <v>Oct</v>
      </c>
    </row>
    <row r="349" spans="1:11">
      <c r="A349" s="1" t="s">
        <v>373</v>
      </c>
      <c r="B349" s="2">
        <v>45920</v>
      </c>
      <c r="C349" s="1" t="s">
        <v>16</v>
      </c>
      <c r="D349" s="1" t="s">
        <v>13</v>
      </c>
      <c r="E349" s="1" t="s">
        <v>26</v>
      </c>
      <c r="F349" s="1">
        <v>23</v>
      </c>
      <c r="G349" s="1">
        <v>25.92</v>
      </c>
      <c r="H349" s="1">
        <v>596.16</v>
      </c>
      <c r="I349" s="1">
        <v>421.76</v>
      </c>
      <c r="J349" s="1">
        <v>174.4</v>
      </c>
      <c r="K349" s="8" t="str">
        <f t="shared" si="5"/>
        <v>Sep</v>
      </c>
    </row>
    <row r="350" spans="1:11">
      <c r="A350" s="1" t="s">
        <v>374</v>
      </c>
      <c r="B350" s="2">
        <v>45772</v>
      </c>
      <c r="C350" s="1" t="s">
        <v>12</v>
      </c>
      <c r="D350" s="1" t="s">
        <v>13</v>
      </c>
      <c r="E350" s="1" t="s">
        <v>26</v>
      </c>
      <c r="F350" s="1">
        <v>103</v>
      </c>
      <c r="G350" s="1">
        <v>15.04</v>
      </c>
      <c r="H350" s="1">
        <v>1549.12</v>
      </c>
      <c r="I350" s="1">
        <v>1026.1099999999999</v>
      </c>
      <c r="J350" s="1">
        <v>523.01</v>
      </c>
      <c r="K350" s="8" t="str">
        <f t="shared" si="5"/>
        <v>Apr</v>
      </c>
    </row>
    <row r="351" spans="1:11">
      <c r="A351" s="1" t="s">
        <v>375</v>
      </c>
      <c r="B351" s="2">
        <v>45707</v>
      </c>
      <c r="C351" s="1" t="s">
        <v>36</v>
      </c>
      <c r="D351" s="1" t="s">
        <v>29</v>
      </c>
      <c r="E351" s="1" t="s">
        <v>18</v>
      </c>
      <c r="F351" s="1">
        <v>109</v>
      </c>
      <c r="G351" s="1">
        <v>17.84</v>
      </c>
      <c r="H351" s="1">
        <v>1944.56</v>
      </c>
      <c r="I351" s="1">
        <v>1492.38</v>
      </c>
      <c r="J351" s="1">
        <v>452.18</v>
      </c>
      <c r="K351" s="8" t="str">
        <f t="shared" si="5"/>
        <v>Feb</v>
      </c>
    </row>
    <row r="352" spans="1:11">
      <c r="A352" s="1" t="s">
        <v>376</v>
      </c>
      <c r="B352" s="2">
        <v>45925</v>
      </c>
      <c r="C352" s="1" t="s">
        <v>16</v>
      </c>
      <c r="D352" s="1" t="s">
        <v>29</v>
      </c>
      <c r="E352" s="1" t="s">
        <v>20</v>
      </c>
      <c r="F352" s="1">
        <v>132</v>
      </c>
      <c r="G352" s="1">
        <v>31.08</v>
      </c>
      <c r="H352" s="1">
        <v>4102.5600000000004</v>
      </c>
      <c r="I352" s="1">
        <v>2545.94</v>
      </c>
      <c r="J352" s="1">
        <v>1556.62</v>
      </c>
      <c r="K352" s="8" t="str">
        <f t="shared" si="5"/>
        <v>Sep</v>
      </c>
    </row>
    <row r="353" spans="1:11">
      <c r="A353" s="1" t="s">
        <v>377</v>
      </c>
      <c r="B353" s="2">
        <v>45681</v>
      </c>
      <c r="C353" s="1" t="s">
        <v>12</v>
      </c>
      <c r="D353" s="1" t="s">
        <v>17</v>
      </c>
      <c r="E353" s="1" t="s">
        <v>26</v>
      </c>
      <c r="F353" s="1">
        <v>149</v>
      </c>
      <c r="G353" s="1">
        <v>13.69</v>
      </c>
      <c r="H353" s="1">
        <v>2039.81</v>
      </c>
      <c r="I353" s="1">
        <v>1425.25</v>
      </c>
      <c r="J353" s="1">
        <v>614.55999999999995</v>
      </c>
      <c r="K353" s="8" t="str">
        <f t="shared" si="5"/>
        <v>Jan</v>
      </c>
    </row>
    <row r="354" spans="1:11">
      <c r="A354" s="1" t="s">
        <v>378</v>
      </c>
      <c r="B354" s="2">
        <v>45720</v>
      </c>
      <c r="C354" s="1" t="s">
        <v>12</v>
      </c>
      <c r="D354" s="1" t="s">
        <v>13</v>
      </c>
      <c r="E354" s="1" t="s">
        <v>20</v>
      </c>
      <c r="F354" s="1">
        <v>72</v>
      </c>
      <c r="G354" s="1">
        <v>22.17</v>
      </c>
      <c r="H354" s="1">
        <v>1596.24</v>
      </c>
      <c r="I354" s="1">
        <v>1001.47</v>
      </c>
      <c r="J354" s="1">
        <v>594.77</v>
      </c>
      <c r="K354" s="8" t="str">
        <f t="shared" si="5"/>
        <v>Mar</v>
      </c>
    </row>
    <row r="355" spans="1:11">
      <c r="A355" s="1" t="s">
        <v>379</v>
      </c>
      <c r="B355" s="2">
        <v>45733</v>
      </c>
      <c r="C355" s="1" t="s">
        <v>16</v>
      </c>
      <c r="D355" s="1" t="s">
        <v>29</v>
      </c>
      <c r="E355" s="1" t="s">
        <v>18</v>
      </c>
      <c r="F355" s="1">
        <v>246</v>
      </c>
      <c r="G355" s="1">
        <v>32.4</v>
      </c>
      <c r="H355" s="1">
        <v>7970.4</v>
      </c>
      <c r="I355" s="1">
        <v>5044.18</v>
      </c>
      <c r="J355" s="1">
        <v>2926.22</v>
      </c>
      <c r="K355" s="8" t="str">
        <f t="shared" si="5"/>
        <v>Mar</v>
      </c>
    </row>
    <row r="356" spans="1:11">
      <c r="A356" s="1" t="s">
        <v>380</v>
      </c>
      <c r="B356" s="2">
        <v>46013</v>
      </c>
      <c r="C356" s="1" t="s">
        <v>16</v>
      </c>
      <c r="D356" s="1" t="s">
        <v>17</v>
      </c>
      <c r="E356" s="1" t="s">
        <v>26</v>
      </c>
      <c r="F356" s="1">
        <v>225</v>
      </c>
      <c r="G356" s="1">
        <v>27.91</v>
      </c>
      <c r="H356" s="1">
        <v>6279.75</v>
      </c>
      <c r="I356" s="1">
        <v>4524.92</v>
      </c>
      <c r="J356" s="1">
        <v>1754.83</v>
      </c>
      <c r="K356" s="8" t="str">
        <f t="shared" si="5"/>
        <v>Dec</v>
      </c>
    </row>
    <row r="357" spans="1:11">
      <c r="A357" s="1" t="s">
        <v>381</v>
      </c>
      <c r="B357" s="2">
        <v>45843</v>
      </c>
      <c r="C357" s="1" t="s">
        <v>36</v>
      </c>
      <c r="D357" s="1" t="s">
        <v>17</v>
      </c>
      <c r="E357" s="1" t="s">
        <v>23</v>
      </c>
      <c r="F357" s="1">
        <v>183</v>
      </c>
      <c r="G357" s="1">
        <v>22.02</v>
      </c>
      <c r="H357" s="1">
        <v>4029.66</v>
      </c>
      <c r="I357" s="1">
        <v>3093.63</v>
      </c>
      <c r="J357" s="1">
        <v>936.03</v>
      </c>
      <c r="K357" s="8" t="str">
        <f t="shared" si="5"/>
        <v>Jul</v>
      </c>
    </row>
    <row r="358" spans="1:11">
      <c r="A358" s="1" t="s">
        <v>382</v>
      </c>
      <c r="B358" s="2">
        <v>45822</v>
      </c>
      <c r="C358" s="1" t="s">
        <v>12</v>
      </c>
      <c r="D358" s="1" t="s">
        <v>13</v>
      </c>
      <c r="E358" s="1" t="s">
        <v>33</v>
      </c>
      <c r="F358" s="1">
        <v>215</v>
      </c>
      <c r="G358" s="1">
        <v>35.43</v>
      </c>
      <c r="H358" s="1">
        <v>7617.45</v>
      </c>
      <c r="I358" s="1">
        <v>4652.0600000000004</v>
      </c>
      <c r="J358" s="1">
        <v>2965.39</v>
      </c>
      <c r="K358" s="8" t="str">
        <f t="shared" si="5"/>
        <v>Jun</v>
      </c>
    </row>
    <row r="359" spans="1:11">
      <c r="A359" s="1" t="s">
        <v>383</v>
      </c>
      <c r="B359" s="2">
        <v>45838</v>
      </c>
      <c r="C359" s="1" t="s">
        <v>16</v>
      </c>
      <c r="D359" s="1" t="s">
        <v>17</v>
      </c>
      <c r="E359" s="1" t="s">
        <v>26</v>
      </c>
      <c r="F359" s="1">
        <v>137</v>
      </c>
      <c r="G359" s="1">
        <v>36.11</v>
      </c>
      <c r="H359" s="1">
        <v>4947.07</v>
      </c>
      <c r="I359" s="1">
        <v>3624.34</v>
      </c>
      <c r="J359" s="1">
        <v>1322.73</v>
      </c>
      <c r="K359" s="8" t="str">
        <f t="shared" si="5"/>
        <v>Jun</v>
      </c>
    </row>
    <row r="360" spans="1:11">
      <c r="A360" s="1" t="s">
        <v>384</v>
      </c>
      <c r="B360" s="2">
        <v>45929</v>
      </c>
      <c r="C360" s="1" t="s">
        <v>12</v>
      </c>
      <c r="D360" s="1" t="s">
        <v>29</v>
      </c>
      <c r="E360" s="1" t="s">
        <v>26</v>
      </c>
      <c r="F360" s="1">
        <v>105</v>
      </c>
      <c r="G360" s="1">
        <v>12.08</v>
      </c>
      <c r="H360" s="1">
        <v>1268.4000000000001</v>
      </c>
      <c r="I360" s="1">
        <v>870.89</v>
      </c>
      <c r="J360" s="1">
        <v>397.51</v>
      </c>
      <c r="K360" s="8" t="str">
        <f t="shared" si="5"/>
        <v>Sep</v>
      </c>
    </row>
    <row r="361" spans="1:11">
      <c r="A361" s="1" t="s">
        <v>385</v>
      </c>
      <c r="B361" s="2">
        <v>45773</v>
      </c>
      <c r="C361" s="1" t="s">
        <v>28</v>
      </c>
      <c r="D361" s="1" t="s">
        <v>29</v>
      </c>
      <c r="E361" s="1" t="s">
        <v>26</v>
      </c>
      <c r="F361" s="1">
        <v>81</v>
      </c>
      <c r="G361" s="1">
        <v>22.62</v>
      </c>
      <c r="H361" s="1">
        <v>1832.22</v>
      </c>
      <c r="I361" s="1">
        <v>1244.83</v>
      </c>
      <c r="J361" s="1">
        <v>587.39</v>
      </c>
      <c r="K361" s="8" t="str">
        <f t="shared" si="5"/>
        <v>Apr</v>
      </c>
    </row>
    <row r="362" spans="1:11">
      <c r="A362" s="1" t="s">
        <v>386</v>
      </c>
      <c r="B362" s="2">
        <v>45678</v>
      </c>
      <c r="C362" s="1" t="s">
        <v>36</v>
      </c>
      <c r="D362" s="1" t="s">
        <v>29</v>
      </c>
      <c r="E362" s="1" t="s">
        <v>14</v>
      </c>
      <c r="F362" s="1">
        <v>27</v>
      </c>
      <c r="G362" s="1">
        <v>35.97</v>
      </c>
      <c r="H362" s="1">
        <v>971.19</v>
      </c>
      <c r="I362" s="1">
        <v>703.32</v>
      </c>
      <c r="J362" s="1">
        <v>267.87</v>
      </c>
      <c r="K362" s="8" t="str">
        <f t="shared" si="5"/>
        <v>Jan</v>
      </c>
    </row>
    <row r="363" spans="1:11">
      <c r="A363" s="1" t="s">
        <v>387</v>
      </c>
      <c r="B363" s="2">
        <v>45979</v>
      </c>
      <c r="C363" s="1" t="s">
        <v>16</v>
      </c>
      <c r="D363" s="1" t="s">
        <v>17</v>
      </c>
      <c r="E363" s="1" t="s">
        <v>26</v>
      </c>
      <c r="F363" s="1">
        <v>287</v>
      </c>
      <c r="G363" s="1">
        <v>34.19</v>
      </c>
      <c r="H363" s="1">
        <v>9812.5300000000007</v>
      </c>
      <c r="I363" s="1">
        <v>5957.73</v>
      </c>
      <c r="J363" s="1">
        <v>3854.8</v>
      </c>
      <c r="K363" s="8" t="str">
        <f t="shared" si="5"/>
        <v>Nov</v>
      </c>
    </row>
    <row r="364" spans="1:11">
      <c r="A364" s="1" t="s">
        <v>388</v>
      </c>
      <c r="B364" s="2">
        <v>45924</v>
      </c>
      <c r="C364" s="1" t="s">
        <v>31</v>
      </c>
      <c r="D364" s="1" t="s">
        <v>13</v>
      </c>
      <c r="E364" s="1" t="s">
        <v>14</v>
      </c>
      <c r="F364" s="1">
        <v>16</v>
      </c>
      <c r="G364" s="1">
        <v>23.01</v>
      </c>
      <c r="H364" s="1">
        <v>368.16</v>
      </c>
      <c r="I364" s="1">
        <v>290.91000000000003</v>
      </c>
      <c r="J364" s="1">
        <v>77.25</v>
      </c>
      <c r="K364" s="8" t="str">
        <f t="shared" si="5"/>
        <v>Sep</v>
      </c>
    </row>
    <row r="365" spans="1:11">
      <c r="A365" s="1" t="s">
        <v>389</v>
      </c>
      <c r="B365" s="2">
        <v>45835</v>
      </c>
      <c r="C365" s="1" t="s">
        <v>12</v>
      </c>
      <c r="D365" s="1" t="s">
        <v>17</v>
      </c>
      <c r="E365" s="1" t="s">
        <v>26</v>
      </c>
      <c r="F365" s="1">
        <v>95</v>
      </c>
      <c r="G365" s="1">
        <v>13.61</v>
      </c>
      <c r="H365" s="1">
        <v>1292.95</v>
      </c>
      <c r="I365" s="1">
        <v>929.45</v>
      </c>
      <c r="J365" s="1">
        <v>363.5</v>
      </c>
      <c r="K365" s="8" t="str">
        <f t="shared" si="5"/>
        <v>Jun</v>
      </c>
    </row>
    <row r="366" spans="1:11">
      <c r="A366" s="1" t="s">
        <v>390</v>
      </c>
      <c r="B366" s="2">
        <v>45896</v>
      </c>
      <c r="C366" s="1" t="s">
        <v>12</v>
      </c>
      <c r="D366" s="1" t="s">
        <v>13</v>
      </c>
      <c r="E366" s="1" t="s">
        <v>14</v>
      </c>
      <c r="F366" s="1">
        <v>283</v>
      </c>
      <c r="G366" s="1">
        <v>37.96</v>
      </c>
      <c r="H366" s="1">
        <v>10742.68</v>
      </c>
      <c r="I366" s="1">
        <v>7390.91</v>
      </c>
      <c r="J366" s="1">
        <v>3351.77</v>
      </c>
      <c r="K366" s="8" t="str">
        <f t="shared" si="5"/>
        <v>Aug</v>
      </c>
    </row>
    <row r="367" spans="1:11">
      <c r="A367" s="1" t="s">
        <v>391</v>
      </c>
      <c r="B367" s="2">
        <v>45866</v>
      </c>
      <c r="C367" s="1" t="s">
        <v>36</v>
      </c>
      <c r="D367" s="1" t="s">
        <v>29</v>
      </c>
      <c r="E367" s="1" t="s">
        <v>14</v>
      </c>
      <c r="F367" s="1">
        <v>157</v>
      </c>
      <c r="G367" s="1">
        <v>18.22</v>
      </c>
      <c r="H367" s="1">
        <v>2860.54</v>
      </c>
      <c r="I367" s="1">
        <v>2137.36</v>
      </c>
      <c r="J367" s="1">
        <v>723.18</v>
      </c>
      <c r="K367" s="8" t="str">
        <f t="shared" si="5"/>
        <v>Jul</v>
      </c>
    </row>
    <row r="368" spans="1:11">
      <c r="A368" s="1" t="s">
        <v>392</v>
      </c>
      <c r="B368" s="2">
        <v>45890</v>
      </c>
      <c r="C368" s="1" t="s">
        <v>36</v>
      </c>
      <c r="D368" s="1" t="s">
        <v>17</v>
      </c>
      <c r="E368" s="1" t="s">
        <v>18</v>
      </c>
      <c r="F368" s="1">
        <v>123</v>
      </c>
      <c r="G368" s="1">
        <v>29.51</v>
      </c>
      <c r="H368" s="1">
        <v>3629.73</v>
      </c>
      <c r="I368" s="1">
        <v>2323.89</v>
      </c>
      <c r="J368" s="1">
        <v>1305.8399999999999</v>
      </c>
      <c r="K368" s="8" t="str">
        <f t="shared" si="5"/>
        <v>Aug</v>
      </c>
    </row>
    <row r="369" spans="1:11">
      <c r="A369" s="1" t="s">
        <v>393</v>
      </c>
      <c r="B369" s="2">
        <v>45938</v>
      </c>
      <c r="C369" s="1" t="s">
        <v>31</v>
      </c>
      <c r="D369" s="1" t="s">
        <v>13</v>
      </c>
      <c r="E369" s="1" t="s">
        <v>20</v>
      </c>
      <c r="F369" s="1">
        <v>165</v>
      </c>
      <c r="G369" s="1">
        <v>28.38</v>
      </c>
      <c r="H369" s="1">
        <v>4682.7</v>
      </c>
      <c r="I369" s="1">
        <v>3248.83</v>
      </c>
      <c r="J369" s="1">
        <v>1433.87</v>
      </c>
      <c r="K369" s="8" t="str">
        <f t="shared" si="5"/>
        <v>Oct</v>
      </c>
    </row>
    <row r="370" spans="1:11">
      <c r="A370" s="1" t="s">
        <v>394</v>
      </c>
      <c r="B370" s="2">
        <v>45828</v>
      </c>
      <c r="C370" s="1" t="s">
        <v>12</v>
      </c>
      <c r="D370" s="1" t="s">
        <v>17</v>
      </c>
      <c r="E370" s="1" t="s">
        <v>26</v>
      </c>
      <c r="F370" s="1">
        <v>123</v>
      </c>
      <c r="G370" s="1">
        <v>15.66</v>
      </c>
      <c r="H370" s="1">
        <v>1926.18</v>
      </c>
      <c r="I370" s="1">
        <v>1366.01</v>
      </c>
      <c r="J370" s="1">
        <v>560.16999999999996</v>
      </c>
      <c r="K370" s="8" t="str">
        <f t="shared" si="5"/>
        <v>Jun</v>
      </c>
    </row>
    <row r="371" spans="1:11">
      <c r="A371" s="1" t="s">
        <v>395</v>
      </c>
      <c r="B371" s="2">
        <v>45838</v>
      </c>
      <c r="C371" s="1" t="s">
        <v>12</v>
      </c>
      <c r="D371" s="1" t="s">
        <v>17</v>
      </c>
      <c r="E371" s="1" t="s">
        <v>18</v>
      </c>
      <c r="F371" s="1">
        <v>93</v>
      </c>
      <c r="G371" s="1">
        <v>35.86</v>
      </c>
      <c r="H371" s="1">
        <v>3334.98</v>
      </c>
      <c r="I371" s="1">
        <v>2160.09</v>
      </c>
      <c r="J371" s="1">
        <v>1174.8900000000001</v>
      </c>
      <c r="K371" s="8" t="str">
        <f t="shared" si="5"/>
        <v>Jun</v>
      </c>
    </row>
    <row r="372" spans="1:11">
      <c r="A372" s="1" t="s">
        <v>396</v>
      </c>
      <c r="B372" s="2">
        <v>45796</v>
      </c>
      <c r="C372" s="1" t="s">
        <v>16</v>
      </c>
      <c r="D372" s="1" t="s">
        <v>13</v>
      </c>
      <c r="E372" s="1" t="s">
        <v>20</v>
      </c>
      <c r="F372" s="1">
        <v>155</v>
      </c>
      <c r="G372" s="1">
        <v>36.35</v>
      </c>
      <c r="H372" s="1">
        <v>5634.25</v>
      </c>
      <c r="I372" s="1">
        <v>3624.11</v>
      </c>
      <c r="J372" s="1">
        <v>2010.14</v>
      </c>
      <c r="K372" s="8" t="str">
        <f t="shared" si="5"/>
        <v>May</v>
      </c>
    </row>
    <row r="373" spans="1:11">
      <c r="A373" s="1" t="s">
        <v>397</v>
      </c>
      <c r="B373" s="2">
        <v>45940</v>
      </c>
      <c r="C373" s="1" t="s">
        <v>36</v>
      </c>
      <c r="D373" s="1" t="s">
        <v>13</v>
      </c>
      <c r="E373" s="1" t="s">
        <v>23</v>
      </c>
      <c r="F373" s="1">
        <v>44</v>
      </c>
      <c r="G373" s="1">
        <v>28.18</v>
      </c>
      <c r="H373" s="1">
        <v>1239.92</v>
      </c>
      <c r="I373" s="1">
        <v>830.25</v>
      </c>
      <c r="J373" s="1">
        <v>409.67</v>
      </c>
      <c r="K373" s="8" t="str">
        <f t="shared" si="5"/>
        <v>Oct</v>
      </c>
    </row>
    <row r="374" spans="1:11">
      <c r="A374" s="1" t="s">
        <v>398</v>
      </c>
      <c r="B374" s="2">
        <v>45856</v>
      </c>
      <c r="C374" s="1" t="s">
        <v>12</v>
      </c>
      <c r="D374" s="1" t="s">
        <v>13</v>
      </c>
      <c r="E374" s="1" t="s">
        <v>33</v>
      </c>
      <c r="F374" s="1">
        <v>235</v>
      </c>
      <c r="G374" s="1">
        <v>20.62</v>
      </c>
      <c r="H374" s="1">
        <v>4845.7</v>
      </c>
      <c r="I374" s="1">
        <v>3646.72</v>
      </c>
      <c r="J374" s="1">
        <v>1198.98</v>
      </c>
      <c r="K374" s="8" t="str">
        <f t="shared" si="5"/>
        <v>Jul</v>
      </c>
    </row>
    <row r="375" spans="1:11">
      <c r="A375" s="1" t="s">
        <v>399</v>
      </c>
      <c r="B375" s="2">
        <v>45737</v>
      </c>
      <c r="C375" s="1" t="s">
        <v>36</v>
      </c>
      <c r="D375" s="1" t="s">
        <v>13</v>
      </c>
      <c r="E375" s="1" t="s">
        <v>23</v>
      </c>
      <c r="F375" s="1">
        <v>223</v>
      </c>
      <c r="G375" s="1">
        <v>20.11</v>
      </c>
      <c r="H375" s="1">
        <v>4484.53</v>
      </c>
      <c r="I375" s="1">
        <v>3006.84</v>
      </c>
      <c r="J375" s="1">
        <v>1477.69</v>
      </c>
      <c r="K375" s="8" t="str">
        <f t="shared" si="5"/>
        <v>Mar</v>
      </c>
    </row>
    <row r="376" spans="1:11">
      <c r="A376" s="1" t="s">
        <v>400</v>
      </c>
      <c r="B376" s="2">
        <v>45970</v>
      </c>
      <c r="C376" s="1" t="s">
        <v>36</v>
      </c>
      <c r="D376" s="1" t="s">
        <v>29</v>
      </c>
      <c r="E376" s="1" t="s">
        <v>18</v>
      </c>
      <c r="F376" s="1">
        <v>151</v>
      </c>
      <c r="G376" s="1">
        <v>34.64</v>
      </c>
      <c r="H376" s="1">
        <v>5230.6400000000003</v>
      </c>
      <c r="I376" s="1">
        <v>3680.04</v>
      </c>
      <c r="J376" s="1">
        <v>1550.6</v>
      </c>
      <c r="K376" s="8" t="str">
        <f t="shared" si="5"/>
        <v>Nov</v>
      </c>
    </row>
    <row r="377" spans="1:11">
      <c r="A377" s="1" t="s">
        <v>401</v>
      </c>
      <c r="B377" s="2">
        <v>45795</v>
      </c>
      <c r="C377" s="1" t="s">
        <v>28</v>
      </c>
      <c r="D377" s="1" t="s">
        <v>29</v>
      </c>
      <c r="E377" s="1" t="s">
        <v>23</v>
      </c>
      <c r="F377" s="1">
        <v>75</v>
      </c>
      <c r="G377" s="1">
        <v>22.39</v>
      </c>
      <c r="H377" s="1">
        <v>1679.25</v>
      </c>
      <c r="I377" s="1">
        <v>1042.26</v>
      </c>
      <c r="J377" s="1">
        <v>636.99</v>
      </c>
      <c r="K377" s="8" t="str">
        <f t="shared" si="5"/>
        <v>May</v>
      </c>
    </row>
    <row r="378" spans="1:11">
      <c r="A378" s="1" t="s">
        <v>402</v>
      </c>
      <c r="B378" s="2">
        <v>45718</v>
      </c>
      <c r="C378" s="1" t="s">
        <v>22</v>
      </c>
      <c r="D378" s="1" t="s">
        <v>17</v>
      </c>
      <c r="E378" s="1" t="s">
        <v>14</v>
      </c>
      <c r="F378" s="1">
        <v>264</v>
      </c>
      <c r="G378" s="1">
        <v>21.92</v>
      </c>
      <c r="H378" s="1">
        <v>5786.88</v>
      </c>
      <c r="I378" s="1">
        <v>4621.3100000000004</v>
      </c>
      <c r="J378" s="1">
        <v>1165.57</v>
      </c>
      <c r="K378" s="8" t="str">
        <f t="shared" si="5"/>
        <v>Mar</v>
      </c>
    </row>
    <row r="379" spans="1:11">
      <c r="A379" s="1" t="s">
        <v>403</v>
      </c>
      <c r="B379" s="2">
        <v>45976</v>
      </c>
      <c r="C379" s="1" t="s">
        <v>28</v>
      </c>
      <c r="D379" s="1" t="s">
        <v>17</v>
      </c>
      <c r="E379" s="1" t="s">
        <v>33</v>
      </c>
      <c r="F379" s="1">
        <v>66</v>
      </c>
      <c r="G379" s="1">
        <v>21.39</v>
      </c>
      <c r="H379" s="1">
        <v>1411.74</v>
      </c>
      <c r="I379" s="1">
        <v>974.75</v>
      </c>
      <c r="J379" s="1">
        <v>436.99</v>
      </c>
      <c r="K379" s="8" t="str">
        <f t="shared" si="5"/>
        <v>Nov</v>
      </c>
    </row>
    <row r="380" spans="1:11">
      <c r="A380" s="1" t="s">
        <v>404</v>
      </c>
      <c r="B380" s="2">
        <v>45838</v>
      </c>
      <c r="C380" s="1" t="s">
        <v>12</v>
      </c>
      <c r="D380" s="1" t="s">
        <v>17</v>
      </c>
      <c r="E380" s="1" t="s">
        <v>33</v>
      </c>
      <c r="F380" s="1">
        <v>159</v>
      </c>
      <c r="G380" s="1">
        <v>20.59</v>
      </c>
      <c r="H380" s="1">
        <v>3273.81</v>
      </c>
      <c r="I380" s="1">
        <v>2308.77</v>
      </c>
      <c r="J380" s="1">
        <v>965.04</v>
      </c>
      <c r="K380" s="8" t="str">
        <f t="shared" si="5"/>
        <v>Jun</v>
      </c>
    </row>
    <row r="381" spans="1:11">
      <c r="A381" s="1" t="s">
        <v>405</v>
      </c>
      <c r="B381" s="2">
        <v>45822</v>
      </c>
      <c r="C381" s="1" t="s">
        <v>28</v>
      </c>
      <c r="D381" s="1" t="s">
        <v>17</v>
      </c>
      <c r="E381" s="1" t="s">
        <v>18</v>
      </c>
      <c r="F381" s="1">
        <v>13</v>
      </c>
      <c r="G381" s="1">
        <v>33.61</v>
      </c>
      <c r="H381" s="1">
        <v>436.93</v>
      </c>
      <c r="I381" s="1">
        <v>336.4</v>
      </c>
      <c r="J381" s="1">
        <v>100.53</v>
      </c>
      <c r="K381" s="8" t="str">
        <f t="shared" si="5"/>
        <v>Jun</v>
      </c>
    </row>
    <row r="382" spans="1:11">
      <c r="A382" s="1" t="s">
        <v>406</v>
      </c>
      <c r="B382" s="2">
        <v>45811</v>
      </c>
      <c r="C382" s="1" t="s">
        <v>28</v>
      </c>
      <c r="D382" s="1" t="s">
        <v>29</v>
      </c>
      <c r="E382" s="1" t="s">
        <v>18</v>
      </c>
      <c r="F382" s="1">
        <v>104</v>
      </c>
      <c r="G382" s="1">
        <v>26.11</v>
      </c>
      <c r="H382" s="1">
        <v>2715.44</v>
      </c>
      <c r="I382" s="1">
        <v>2065.34</v>
      </c>
      <c r="J382" s="1">
        <v>650.1</v>
      </c>
      <c r="K382" s="8" t="str">
        <f t="shared" si="5"/>
        <v>Jun</v>
      </c>
    </row>
    <row r="383" spans="1:11">
      <c r="A383" s="1" t="s">
        <v>407</v>
      </c>
      <c r="B383" s="2">
        <v>45955</v>
      </c>
      <c r="C383" s="1" t="s">
        <v>31</v>
      </c>
      <c r="D383" s="1" t="s">
        <v>29</v>
      </c>
      <c r="E383" s="1" t="s">
        <v>20</v>
      </c>
      <c r="F383" s="1">
        <v>128</v>
      </c>
      <c r="G383" s="1">
        <v>12.64</v>
      </c>
      <c r="H383" s="1">
        <v>1617.92</v>
      </c>
      <c r="I383" s="1">
        <v>1268.5</v>
      </c>
      <c r="J383" s="1">
        <v>349.42</v>
      </c>
      <c r="K383" s="8" t="str">
        <f t="shared" si="5"/>
        <v>Oct</v>
      </c>
    </row>
    <row r="384" spans="1:11">
      <c r="A384" s="1" t="s">
        <v>408</v>
      </c>
      <c r="B384" s="2">
        <v>45824</v>
      </c>
      <c r="C384" s="1" t="s">
        <v>16</v>
      </c>
      <c r="D384" s="1" t="s">
        <v>13</v>
      </c>
      <c r="E384" s="1" t="s">
        <v>26</v>
      </c>
      <c r="F384" s="1">
        <v>114</v>
      </c>
      <c r="G384" s="1">
        <v>39.159999999999997</v>
      </c>
      <c r="H384" s="1">
        <v>4464.24</v>
      </c>
      <c r="I384" s="1">
        <v>3474.3</v>
      </c>
      <c r="J384" s="1">
        <v>989.94</v>
      </c>
      <c r="K384" s="8" t="str">
        <f t="shared" si="5"/>
        <v>Jun</v>
      </c>
    </row>
    <row r="385" spans="1:11">
      <c r="A385" s="1" t="s">
        <v>409</v>
      </c>
      <c r="B385" s="2">
        <v>45789</v>
      </c>
      <c r="C385" s="1" t="s">
        <v>12</v>
      </c>
      <c r="D385" s="1" t="s">
        <v>17</v>
      </c>
      <c r="E385" s="1" t="s">
        <v>23</v>
      </c>
      <c r="F385" s="1">
        <v>299</v>
      </c>
      <c r="G385" s="1">
        <v>36.880000000000003</v>
      </c>
      <c r="H385" s="1">
        <v>11027.12</v>
      </c>
      <c r="I385" s="1">
        <v>7277.5</v>
      </c>
      <c r="J385" s="1">
        <v>3749.62</v>
      </c>
      <c r="K385" s="8" t="str">
        <f t="shared" si="5"/>
        <v>May</v>
      </c>
    </row>
    <row r="386" spans="1:11">
      <c r="A386" s="1" t="s">
        <v>410</v>
      </c>
      <c r="B386" s="2">
        <v>45975</v>
      </c>
      <c r="C386" s="1" t="s">
        <v>36</v>
      </c>
      <c r="D386" s="1" t="s">
        <v>17</v>
      </c>
      <c r="E386" s="1" t="s">
        <v>18</v>
      </c>
      <c r="F386" s="1">
        <v>233</v>
      </c>
      <c r="G386" s="1">
        <v>25.52</v>
      </c>
      <c r="H386" s="1">
        <v>5946.16</v>
      </c>
      <c r="I386" s="1">
        <v>4182.84</v>
      </c>
      <c r="J386" s="1">
        <v>1763.32</v>
      </c>
      <c r="K386" s="8" t="str">
        <f t="shared" ref="K386:K449" si="6">TEXT(B386,"mmm")</f>
        <v>Nov</v>
      </c>
    </row>
    <row r="387" spans="1:11">
      <c r="A387" s="1" t="s">
        <v>411</v>
      </c>
      <c r="B387" s="2">
        <v>45895</v>
      </c>
      <c r="C387" s="1" t="s">
        <v>28</v>
      </c>
      <c r="D387" s="1" t="s">
        <v>13</v>
      </c>
      <c r="E387" s="1" t="s">
        <v>33</v>
      </c>
      <c r="F387" s="1">
        <v>193</v>
      </c>
      <c r="G387" s="1">
        <v>11.22</v>
      </c>
      <c r="H387" s="1">
        <v>2165.46</v>
      </c>
      <c r="I387" s="1">
        <v>1592.14</v>
      </c>
      <c r="J387" s="1">
        <v>573.32000000000005</v>
      </c>
      <c r="K387" s="8" t="str">
        <f t="shared" si="6"/>
        <v>Aug</v>
      </c>
    </row>
    <row r="388" spans="1:11">
      <c r="A388" s="1" t="s">
        <v>412</v>
      </c>
      <c r="B388" s="2">
        <v>45692</v>
      </c>
      <c r="C388" s="1" t="s">
        <v>12</v>
      </c>
      <c r="D388" s="1" t="s">
        <v>17</v>
      </c>
      <c r="E388" s="1" t="s">
        <v>33</v>
      </c>
      <c r="F388" s="1">
        <v>278</v>
      </c>
      <c r="G388" s="1">
        <v>16.88</v>
      </c>
      <c r="H388" s="1">
        <v>4692.6400000000003</v>
      </c>
      <c r="I388" s="1">
        <v>3199.93</v>
      </c>
      <c r="J388" s="1">
        <v>1492.71</v>
      </c>
      <c r="K388" s="8" t="str">
        <f t="shared" si="6"/>
        <v>Feb</v>
      </c>
    </row>
    <row r="389" spans="1:11">
      <c r="A389" s="1" t="s">
        <v>413</v>
      </c>
      <c r="B389" s="2">
        <v>45945</v>
      </c>
      <c r="C389" s="1" t="s">
        <v>28</v>
      </c>
      <c r="D389" s="1" t="s">
        <v>17</v>
      </c>
      <c r="E389" s="1" t="s">
        <v>18</v>
      </c>
      <c r="F389" s="1">
        <v>88</v>
      </c>
      <c r="G389" s="1">
        <v>36.4</v>
      </c>
      <c r="H389" s="1">
        <v>3203.2</v>
      </c>
      <c r="I389" s="1">
        <v>2539.8000000000002</v>
      </c>
      <c r="J389" s="1">
        <v>663.4</v>
      </c>
      <c r="K389" s="8" t="str">
        <f t="shared" si="6"/>
        <v>Oct</v>
      </c>
    </row>
    <row r="390" spans="1:11">
      <c r="A390" s="1" t="s">
        <v>414</v>
      </c>
      <c r="B390" s="2">
        <v>45977</v>
      </c>
      <c r="C390" s="1" t="s">
        <v>16</v>
      </c>
      <c r="D390" s="1" t="s">
        <v>13</v>
      </c>
      <c r="E390" s="1" t="s">
        <v>14</v>
      </c>
      <c r="F390" s="1">
        <v>185</v>
      </c>
      <c r="G390" s="1">
        <v>30.75</v>
      </c>
      <c r="H390" s="1">
        <v>5688.75</v>
      </c>
      <c r="I390" s="1">
        <v>4262.54</v>
      </c>
      <c r="J390" s="1">
        <v>1426.21</v>
      </c>
      <c r="K390" s="8" t="str">
        <f t="shared" si="6"/>
        <v>Nov</v>
      </c>
    </row>
    <row r="391" spans="1:11">
      <c r="A391" s="1" t="s">
        <v>415</v>
      </c>
      <c r="B391" s="2">
        <v>45820</v>
      </c>
      <c r="C391" s="1" t="s">
        <v>12</v>
      </c>
      <c r="D391" s="1" t="s">
        <v>13</v>
      </c>
      <c r="E391" s="1" t="s">
        <v>26</v>
      </c>
      <c r="F391" s="1">
        <v>197</v>
      </c>
      <c r="G391" s="1">
        <v>39.35</v>
      </c>
      <c r="H391" s="1">
        <v>7751.95</v>
      </c>
      <c r="I391" s="1">
        <v>5931.84</v>
      </c>
      <c r="J391" s="1">
        <v>1820.11</v>
      </c>
      <c r="K391" s="8" t="str">
        <f t="shared" si="6"/>
        <v>Jun</v>
      </c>
    </row>
    <row r="392" spans="1:11">
      <c r="A392" s="1" t="s">
        <v>416</v>
      </c>
      <c r="B392" s="2">
        <v>45993</v>
      </c>
      <c r="C392" s="1" t="s">
        <v>12</v>
      </c>
      <c r="D392" s="1" t="s">
        <v>17</v>
      </c>
      <c r="E392" s="1" t="s">
        <v>33</v>
      </c>
      <c r="F392" s="1">
        <v>160</v>
      </c>
      <c r="G392" s="1">
        <v>30.7</v>
      </c>
      <c r="H392" s="1">
        <v>4912</v>
      </c>
      <c r="I392" s="1">
        <v>3753.31</v>
      </c>
      <c r="J392" s="1">
        <v>1158.69</v>
      </c>
      <c r="K392" s="8" t="str">
        <f t="shared" si="6"/>
        <v>Dec</v>
      </c>
    </row>
    <row r="393" spans="1:11">
      <c r="A393" s="1" t="s">
        <v>417</v>
      </c>
      <c r="B393" s="2">
        <v>45738</v>
      </c>
      <c r="C393" s="1" t="s">
        <v>12</v>
      </c>
      <c r="D393" s="1" t="s">
        <v>13</v>
      </c>
      <c r="E393" s="1" t="s">
        <v>18</v>
      </c>
      <c r="F393" s="1">
        <v>278</v>
      </c>
      <c r="G393" s="1">
        <v>18.7</v>
      </c>
      <c r="H393" s="1">
        <v>5198.6000000000004</v>
      </c>
      <c r="I393" s="1">
        <v>3651.09</v>
      </c>
      <c r="J393" s="1">
        <v>1547.51</v>
      </c>
      <c r="K393" s="8" t="str">
        <f t="shared" si="6"/>
        <v>Mar</v>
      </c>
    </row>
    <row r="394" spans="1:11">
      <c r="A394" s="1" t="s">
        <v>418</v>
      </c>
      <c r="B394" s="2">
        <v>45751</v>
      </c>
      <c r="C394" s="1" t="s">
        <v>31</v>
      </c>
      <c r="D394" s="1" t="s">
        <v>29</v>
      </c>
      <c r="E394" s="1" t="s">
        <v>33</v>
      </c>
      <c r="F394" s="1">
        <v>40</v>
      </c>
      <c r="G394" s="1">
        <v>28.9</v>
      </c>
      <c r="H394" s="1">
        <v>1156</v>
      </c>
      <c r="I394" s="1">
        <v>833.04</v>
      </c>
      <c r="J394" s="1">
        <v>322.95999999999998</v>
      </c>
      <c r="K394" s="8" t="str">
        <f t="shared" si="6"/>
        <v>Apr</v>
      </c>
    </row>
    <row r="395" spans="1:11">
      <c r="A395" s="1" t="s">
        <v>419</v>
      </c>
      <c r="B395" s="2">
        <v>45983</v>
      </c>
      <c r="C395" s="1" t="s">
        <v>16</v>
      </c>
      <c r="D395" s="1" t="s">
        <v>17</v>
      </c>
      <c r="E395" s="1" t="s">
        <v>33</v>
      </c>
      <c r="F395" s="1">
        <v>31</v>
      </c>
      <c r="G395" s="1">
        <v>30.75</v>
      </c>
      <c r="H395" s="1">
        <v>953.25</v>
      </c>
      <c r="I395" s="1">
        <v>574</v>
      </c>
      <c r="J395" s="1">
        <v>379.25</v>
      </c>
      <c r="K395" s="8" t="str">
        <f t="shared" si="6"/>
        <v>Nov</v>
      </c>
    </row>
    <row r="396" spans="1:11">
      <c r="A396" s="1" t="s">
        <v>420</v>
      </c>
      <c r="B396" s="2">
        <v>46011</v>
      </c>
      <c r="C396" s="1" t="s">
        <v>16</v>
      </c>
      <c r="D396" s="1" t="s">
        <v>29</v>
      </c>
      <c r="E396" s="1" t="s">
        <v>26</v>
      </c>
      <c r="F396" s="1">
        <v>293</v>
      </c>
      <c r="G396" s="1">
        <v>10.119999999999999</v>
      </c>
      <c r="H396" s="1">
        <v>2965.16</v>
      </c>
      <c r="I396" s="1">
        <v>1959.65</v>
      </c>
      <c r="J396" s="1">
        <v>1005.51</v>
      </c>
      <c r="K396" s="8" t="str">
        <f t="shared" si="6"/>
        <v>Dec</v>
      </c>
    </row>
    <row r="397" spans="1:11">
      <c r="A397" s="1" t="s">
        <v>421</v>
      </c>
      <c r="B397" s="2">
        <v>46000</v>
      </c>
      <c r="C397" s="1" t="s">
        <v>12</v>
      </c>
      <c r="D397" s="1" t="s">
        <v>29</v>
      </c>
      <c r="E397" s="1" t="s">
        <v>14</v>
      </c>
      <c r="F397" s="1">
        <v>25</v>
      </c>
      <c r="G397" s="1">
        <v>15.9</v>
      </c>
      <c r="H397" s="1">
        <v>397.5</v>
      </c>
      <c r="I397" s="1">
        <v>278.08</v>
      </c>
      <c r="J397" s="1">
        <v>119.42</v>
      </c>
      <c r="K397" s="8" t="str">
        <f t="shared" si="6"/>
        <v>Dec</v>
      </c>
    </row>
    <row r="398" spans="1:11">
      <c r="A398" s="1" t="s">
        <v>422</v>
      </c>
      <c r="B398" s="2">
        <v>45989</v>
      </c>
      <c r="C398" s="1" t="s">
        <v>22</v>
      </c>
      <c r="D398" s="1" t="s">
        <v>17</v>
      </c>
      <c r="E398" s="1" t="s">
        <v>23</v>
      </c>
      <c r="F398" s="1">
        <v>282</v>
      </c>
      <c r="G398" s="1">
        <v>25.43</v>
      </c>
      <c r="H398" s="1">
        <v>7171.26</v>
      </c>
      <c r="I398" s="1">
        <v>4508.88</v>
      </c>
      <c r="J398" s="1">
        <v>2662.38</v>
      </c>
      <c r="K398" s="8" t="str">
        <f t="shared" si="6"/>
        <v>Nov</v>
      </c>
    </row>
    <row r="399" spans="1:11">
      <c r="A399" s="1" t="s">
        <v>423</v>
      </c>
      <c r="B399" s="2">
        <v>45720</v>
      </c>
      <c r="C399" s="1" t="s">
        <v>16</v>
      </c>
      <c r="D399" s="1" t="s">
        <v>13</v>
      </c>
      <c r="E399" s="1" t="s">
        <v>26</v>
      </c>
      <c r="F399" s="1">
        <v>84</v>
      </c>
      <c r="G399" s="1">
        <v>14.7</v>
      </c>
      <c r="H399" s="1">
        <v>1234.8</v>
      </c>
      <c r="I399" s="1">
        <v>928.45</v>
      </c>
      <c r="J399" s="1">
        <v>306.35000000000002</v>
      </c>
      <c r="K399" s="8" t="str">
        <f t="shared" si="6"/>
        <v>Mar</v>
      </c>
    </row>
    <row r="400" spans="1:11">
      <c r="A400" s="1" t="s">
        <v>424</v>
      </c>
      <c r="B400" s="2">
        <v>45696</v>
      </c>
      <c r="C400" s="1" t="s">
        <v>28</v>
      </c>
      <c r="D400" s="1" t="s">
        <v>29</v>
      </c>
      <c r="E400" s="1" t="s">
        <v>18</v>
      </c>
      <c r="F400" s="1">
        <v>97</v>
      </c>
      <c r="G400" s="1">
        <v>38.44</v>
      </c>
      <c r="H400" s="1">
        <v>3728.68</v>
      </c>
      <c r="I400" s="1">
        <v>2602.94</v>
      </c>
      <c r="J400" s="1">
        <v>1125.74</v>
      </c>
      <c r="K400" s="8" t="str">
        <f t="shared" si="6"/>
        <v>Feb</v>
      </c>
    </row>
    <row r="401" spans="1:11">
      <c r="A401" s="1" t="s">
        <v>425</v>
      </c>
      <c r="B401" s="2">
        <v>45689</v>
      </c>
      <c r="C401" s="1" t="s">
        <v>22</v>
      </c>
      <c r="D401" s="1" t="s">
        <v>29</v>
      </c>
      <c r="E401" s="1" t="s">
        <v>20</v>
      </c>
      <c r="F401" s="1">
        <v>16</v>
      </c>
      <c r="G401" s="1">
        <v>30.54</v>
      </c>
      <c r="H401" s="1">
        <v>488.64</v>
      </c>
      <c r="I401" s="1">
        <v>349.75</v>
      </c>
      <c r="J401" s="1">
        <v>138.88999999999999</v>
      </c>
      <c r="K401" s="8" t="str">
        <f t="shared" si="6"/>
        <v>Feb</v>
      </c>
    </row>
    <row r="402" spans="1:11">
      <c r="A402" s="1" t="s">
        <v>426</v>
      </c>
      <c r="B402" s="2">
        <v>45839</v>
      </c>
      <c r="C402" s="1" t="s">
        <v>16</v>
      </c>
      <c r="D402" s="1" t="s">
        <v>29</v>
      </c>
      <c r="E402" s="1" t="s">
        <v>26</v>
      </c>
      <c r="F402" s="1">
        <v>151</v>
      </c>
      <c r="G402" s="1">
        <v>15.08</v>
      </c>
      <c r="H402" s="1">
        <v>2277.08</v>
      </c>
      <c r="I402" s="1">
        <v>1487.67</v>
      </c>
      <c r="J402" s="1">
        <v>789.41</v>
      </c>
      <c r="K402" s="8" t="str">
        <f t="shared" si="6"/>
        <v>Jul</v>
      </c>
    </row>
    <row r="403" spans="1:11">
      <c r="A403" s="1" t="s">
        <v>427</v>
      </c>
      <c r="B403" s="2">
        <v>45836</v>
      </c>
      <c r="C403" s="1" t="s">
        <v>16</v>
      </c>
      <c r="D403" s="1" t="s">
        <v>13</v>
      </c>
      <c r="E403" s="1" t="s">
        <v>18</v>
      </c>
      <c r="F403" s="1">
        <v>108</v>
      </c>
      <c r="G403" s="1">
        <v>23.5</v>
      </c>
      <c r="H403" s="1">
        <v>2538</v>
      </c>
      <c r="I403" s="1">
        <v>1718.56</v>
      </c>
      <c r="J403" s="1">
        <v>819.44</v>
      </c>
      <c r="K403" s="8" t="str">
        <f t="shared" si="6"/>
        <v>Jun</v>
      </c>
    </row>
    <row r="404" spans="1:11">
      <c r="A404" s="1" t="s">
        <v>428</v>
      </c>
      <c r="B404" s="2">
        <v>45956</v>
      </c>
      <c r="C404" s="1" t="s">
        <v>22</v>
      </c>
      <c r="D404" s="1" t="s">
        <v>13</v>
      </c>
      <c r="E404" s="1" t="s">
        <v>26</v>
      </c>
      <c r="F404" s="1">
        <v>32</v>
      </c>
      <c r="G404" s="1">
        <v>23.19</v>
      </c>
      <c r="H404" s="1">
        <v>742.08</v>
      </c>
      <c r="I404" s="1">
        <v>537.29</v>
      </c>
      <c r="J404" s="1">
        <v>204.79</v>
      </c>
      <c r="K404" s="8" t="str">
        <f t="shared" si="6"/>
        <v>Oct</v>
      </c>
    </row>
    <row r="405" spans="1:11">
      <c r="A405" s="1" t="s">
        <v>429</v>
      </c>
      <c r="B405" s="2">
        <v>45739</v>
      </c>
      <c r="C405" s="1" t="s">
        <v>28</v>
      </c>
      <c r="D405" s="1" t="s">
        <v>17</v>
      </c>
      <c r="E405" s="1" t="s">
        <v>18</v>
      </c>
      <c r="F405" s="1">
        <v>98</v>
      </c>
      <c r="G405" s="1">
        <v>19.440000000000001</v>
      </c>
      <c r="H405" s="1">
        <v>1905.12</v>
      </c>
      <c r="I405" s="1">
        <v>1485.56</v>
      </c>
      <c r="J405" s="1">
        <v>419.56</v>
      </c>
      <c r="K405" s="8" t="str">
        <f t="shared" si="6"/>
        <v>Mar</v>
      </c>
    </row>
    <row r="406" spans="1:11">
      <c r="A406" s="1" t="s">
        <v>430</v>
      </c>
      <c r="B406" s="2">
        <v>45966</v>
      </c>
      <c r="C406" s="1" t="s">
        <v>16</v>
      </c>
      <c r="D406" s="1" t="s">
        <v>13</v>
      </c>
      <c r="E406" s="1" t="s">
        <v>33</v>
      </c>
      <c r="F406" s="1">
        <v>139</v>
      </c>
      <c r="G406" s="1">
        <v>38.799999999999997</v>
      </c>
      <c r="H406" s="1">
        <v>5393.2</v>
      </c>
      <c r="I406" s="1">
        <v>3770.44</v>
      </c>
      <c r="J406" s="1">
        <v>1622.76</v>
      </c>
      <c r="K406" s="8" t="str">
        <f t="shared" si="6"/>
        <v>Nov</v>
      </c>
    </row>
    <row r="407" spans="1:11">
      <c r="A407" s="1" t="s">
        <v>431</v>
      </c>
      <c r="B407" s="2">
        <v>45857</v>
      </c>
      <c r="C407" s="1" t="s">
        <v>36</v>
      </c>
      <c r="D407" s="1" t="s">
        <v>17</v>
      </c>
      <c r="E407" s="1" t="s">
        <v>26</v>
      </c>
      <c r="F407" s="1">
        <v>123</v>
      </c>
      <c r="G407" s="1">
        <v>22.4</v>
      </c>
      <c r="H407" s="1">
        <v>2755.2</v>
      </c>
      <c r="I407" s="1">
        <v>1872.76</v>
      </c>
      <c r="J407" s="1">
        <v>882.44</v>
      </c>
      <c r="K407" s="8" t="str">
        <f t="shared" si="6"/>
        <v>Jul</v>
      </c>
    </row>
    <row r="408" spans="1:11">
      <c r="A408" s="1" t="s">
        <v>432</v>
      </c>
      <c r="B408" s="2">
        <v>45782</v>
      </c>
      <c r="C408" s="1" t="s">
        <v>22</v>
      </c>
      <c r="D408" s="1" t="s">
        <v>13</v>
      </c>
      <c r="E408" s="1" t="s">
        <v>14</v>
      </c>
      <c r="F408" s="1">
        <v>54</v>
      </c>
      <c r="G408" s="1">
        <v>15.2</v>
      </c>
      <c r="H408" s="1">
        <v>820.8</v>
      </c>
      <c r="I408" s="1">
        <v>551.30999999999995</v>
      </c>
      <c r="J408" s="1">
        <v>269.49</v>
      </c>
      <c r="K408" s="8" t="str">
        <f t="shared" si="6"/>
        <v>May</v>
      </c>
    </row>
    <row r="409" spans="1:11">
      <c r="A409" s="1" t="s">
        <v>433</v>
      </c>
      <c r="B409" s="2">
        <v>45860</v>
      </c>
      <c r="C409" s="1" t="s">
        <v>28</v>
      </c>
      <c r="D409" s="1" t="s">
        <v>17</v>
      </c>
      <c r="E409" s="1" t="s">
        <v>18</v>
      </c>
      <c r="F409" s="1">
        <v>297</v>
      </c>
      <c r="G409" s="1">
        <v>20.89</v>
      </c>
      <c r="H409" s="1">
        <v>6204.33</v>
      </c>
      <c r="I409" s="1">
        <v>4138.3100000000004</v>
      </c>
      <c r="J409" s="1">
        <v>2066.02</v>
      </c>
      <c r="K409" s="8" t="str">
        <f t="shared" si="6"/>
        <v>Jul</v>
      </c>
    </row>
    <row r="410" spans="1:11">
      <c r="A410" s="1" t="s">
        <v>434</v>
      </c>
      <c r="B410" s="2">
        <v>45991</v>
      </c>
      <c r="C410" s="1" t="s">
        <v>31</v>
      </c>
      <c r="D410" s="1" t="s">
        <v>29</v>
      </c>
      <c r="E410" s="1" t="s">
        <v>20</v>
      </c>
      <c r="F410" s="1">
        <v>43</v>
      </c>
      <c r="G410" s="1">
        <v>38.840000000000003</v>
      </c>
      <c r="H410" s="1">
        <v>1670.12</v>
      </c>
      <c r="I410" s="1">
        <v>1143.1199999999999</v>
      </c>
      <c r="J410" s="1">
        <v>527</v>
      </c>
      <c r="K410" s="8" t="str">
        <f t="shared" si="6"/>
        <v>Nov</v>
      </c>
    </row>
    <row r="411" spans="1:11">
      <c r="A411" s="1" t="s">
        <v>435</v>
      </c>
      <c r="B411" s="2">
        <v>45856</v>
      </c>
      <c r="C411" s="1" t="s">
        <v>28</v>
      </c>
      <c r="D411" s="1" t="s">
        <v>13</v>
      </c>
      <c r="E411" s="1" t="s">
        <v>14</v>
      </c>
      <c r="F411" s="1">
        <v>107</v>
      </c>
      <c r="G411" s="1">
        <v>24.01</v>
      </c>
      <c r="H411" s="1">
        <v>2569.0700000000002</v>
      </c>
      <c r="I411" s="1">
        <v>1718.44</v>
      </c>
      <c r="J411" s="1">
        <v>850.63</v>
      </c>
      <c r="K411" s="8" t="str">
        <f t="shared" si="6"/>
        <v>Jul</v>
      </c>
    </row>
    <row r="412" spans="1:11">
      <c r="A412" s="1" t="s">
        <v>436</v>
      </c>
      <c r="B412" s="2">
        <v>45998</v>
      </c>
      <c r="C412" s="1" t="s">
        <v>36</v>
      </c>
      <c r="D412" s="1" t="s">
        <v>13</v>
      </c>
      <c r="E412" s="1" t="s">
        <v>26</v>
      </c>
      <c r="F412" s="1">
        <v>22</v>
      </c>
      <c r="G412" s="1">
        <v>20.239999999999998</v>
      </c>
      <c r="H412" s="1">
        <v>445.28</v>
      </c>
      <c r="I412" s="1">
        <v>281.05</v>
      </c>
      <c r="J412" s="1">
        <v>164.23</v>
      </c>
      <c r="K412" s="8" t="str">
        <f t="shared" si="6"/>
        <v>Dec</v>
      </c>
    </row>
    <row r="413" spans="1:11">
      <c r="A413" s="1" t="s">
        <v>437</v>
      </c>
      <c r="B413" s="2">
        <v>45758</v>
      </c>
      <c r="C413" s="1" t="s">
        <v>12</v>
      </c>
      <c r="D413" s="1" t="s">
        <v>17</v>
      </c>
      <c r="E413" s="1" t="s">
        <v>18</v>
      </c>
      <c r="F413" s="1">
        <v>148</v>
      </c>
      <c r="G413" s="1">
        <v>26.35</v>
      </c>
      <c r="H413" s="1">
        <v>3899.8</v>
      </c>
      <c r="I413" s="1">
        <v>2954.07</v>
      </c>
      <c r="J413" s="1">
        <v>945.73</v>
      </c>
      <c r="K413" s="8" t="str">
        <f t="shared" si="6"/>
        <v>Apr</v>
      </c>
    </row>
    <row r="414" spans="1:11">
      <c r="A414" s="1" t="s">
        <v>438</v>
      </c>
      <c r="B414" s="2">
        <v>45780</v>
      </c>
      <c r="C414" s="1" t="s">
        <v>28</v>
      </c>
      <c r="D414" s="1" t="s">
        <v>17</v>
      </c>
      <c r="E414" s="1" t="s">
        <v>33</v>
      </c>
      <c r="F414" s="1">
        <v>91</v>
      </c>
      <c r="G414" s="1">
        <v>21.04</v>
      </c>
      <c r="H414" s="1">
        <v>1914.64</v>
      </c>
      <c r="I414" s="1">
        <v>1231.68</v>
      </c>
      <c r="J414" s="1">
        <v>682.96</v>
      </c>
      <c r="K414" s="8" t="str">
        <f t="shared" si="6"/>
        <v>May</v>
      </c>
    </row>
    <row r="415" spans="1:11">
      <c r="A415" s="1" t="s">
        <v>439</v>
      </c>
      <c r="B415" s="2">
        <v>45955</v>
      </c>
      <c r="C415" s="1" t="s">
        <v>22</v>
      </c>
      <c r="D415" s="1" t="s">
        <v>13</v>
      </c>
      <c r="E415" s="1" t="s">
        <v>18</v>
      </c>
      <c r="F415" s="1">
        <v>116</v>
      </c>
      <c r="G415" s="1">
        <v>18.920000000000002</v>
      </c>
      <c r="H415" s="1">
        <v>2194.7199999999998</v>
      </c>
      <c r="I415" s="1">
        <v>1525.75</v>
      </c>
      <c r="J415" s="1">
        <v>668.97</v>
      </c>
      <c r="K415" s="8" t="str">
        <f t="shared" si="6"/>
        <v>Oct</v>
      </c>
    </row>
    <row r="416" spans="1:11">
      <c r="A416" s="1" t="s">
        <v>440</v>
      </c>
      <c r="B416" s="2">
        <v>46003</v>
      </c>
      <c r="C416" s="1" t="s">
        <v>12</v>
      </c>
      <c r="D416" s="1" t="s">
        <v>17</v>
      </c>
      <c r="E416" s="1" t="s">
        <v>23</v>
      </c>
      <c r="F416" s="1">
        <v>77</v>
      </c>
      <c r="G416" s="1">
        <v>38.26</v>
      </c>
      <c r="H416" s="1">
        <v>2946.02</v>
      </c>
      <c r="I416" s="1">
        <v>2355.59</v>
      </c>
      <c r="J416" s="1">
        <v>590.42999999999995</v>
      </c>
      <c r="K416" s="8" t="str">
        <f t="shared" si="6"/>
        <v>Dec</v>
      </c>
    </row>
    <row r="417" spans="1:11">
      <c r="A417" s="1" t="s">
        <v>441</v>
      </c>
      <c r="B417" s="2">
        <v>45846</v>
      </c>
      <c r="C417" s="1" t="s">
        <v>22</v>
      </c>
      <c r="D417" s="1" t="s">
        <v>13</v>
      </c>
      <c r="E417" s="1" t="s">
        <v>26</v>
      </c>
      <c r="F417" s="1">
        <v>283</v>
      </c>
      <c r="G417" s="1">
        <v>17.39</v>
      </c>
      <c r="H417" s="1">
        <v>4921.37</v>
      </c>
      <c r="I417" s="1">
        <v>3551.46</v>
      </c>
      <c r="J417" s="1">
        <v>1369.91</v>
      </c>
      <c r="K417" s="8" t="str">
        <f t="shared" si="6"/>
        <v>Jul</v>
      </c>
    </row>
    <row r="418" spans="1:11">
      <c r="A418" s="1" t="s">
        <v>442</v>
      </c>
      <c r="B418" s="2">
        <v>46005</v>
      </c>
      <c r="C418" s="1" t="s">
        <v>36</v>
      </c>
      <c r="D418" s="1" t="s">
        <v>17</v>
      </c>
      <c r="E418" s="1" t="s">
        <v>26</v>
      </c>
      <c r="F418" s="1">
        <v>272</v>
      </c>
      <c r="G418" s="1">
        <v>12.74</v>
      </c>
      <c r="H418" s="1">
        <v>3465.28</v>
      </c>
      <c r="I418" s="1">
        <v>2669.55</v>
      </c>
      <c r="J418" s="1">
        <v>795.73</v>
      </c>
      <c r="K418" s="8" t="str">
        <f t="shared" si="6"/>
        <v>Dec</v>
      </c>
    </row>
    <row r="419" spans="1:11">
      <c r="A419" s="1" t="s">
        <v>443</v>
      </c>
      <c r="B419" s="2">
        <v>45994</v>
      </c>
      <c r="C419" s="1" t="s">
        <v>36</v>
      </c>
      <c r="D419" s="1" t="s">
        <v>13</v>
      </c>
      <c r="E419" s="1" t="s">
        <v>33</v>
      </c>
      <c r="F419" s="1">
        <v>300</v>
      </c>
      <c r="G419" s="1">
        <v>14.35</v>
      </c>
      <c r="H419" s="1">
        <v>4305</v>
      </c>
      <c r="I419" s="1">
        <v>2595.92</v>
      </c>
      <c r="J419" s="1">
        <v>1709.08</v>
      </c>
      <c r="K419" s="8" t="str">
        <f t="shared" si="6"/>
        <v>Dec</v>
      </c>
    </row>
    <row r="420" spans="1:11">
      <c r="A420" s="1" t="s">
        <v>444</v>
      </c>
      <c r="B420" s="2">
        <v>45748</v>
      </c>
      <c r="C420" s="1" t="s">
        <v>16</v>
      </c>
      <c r="D420" s="1" t="s">
        <v>13</v>
      </c>
      <c r="E420" s="1" t="s">
        <v>23</v>
      </c>
      <c r="F420" s="1">
        <v>128</v>
      </c>
      <c r="G420" s="1">
        <v>19.63</v>
      </c>
      <c r="H420" s="1">
        <v>2512.64</v>
      </c>
      <c r="I420" s="1">
        <v>1840.63</v>
      </c>
      <c r="J420" s="1">
        <v>672.01</v>
      </c>
      <c r="K420" s="8" t="str">
        <f t="shared" si="6"/>
        <v>Apr</v>
      </c>
    </row>
    <row r="421" spans="1:11">
      <c r="A421" s="1" t="s">
        <v>445</v>
      </c>
      <c r="B421" s="2">
        <v>45843</v>
      </c>
      <c r="C421" s="1" t="s">
        <v>36</v>
      </c>
      <c r="D421" s="1" t="s">
        <v>17</v>
      </c>
      <c r="E421" s="1" t="s">
        <v>26</v>
      </c>
      <c r="F421" s="1">
        <v>266</v>
      </c>
      <c r="G421" s="1">
        <v>32.75</v>
      </c>
      <c r="H421" s="1">
        <v>8711.5</v>
      </c>
      <c r="I421" s="1">
        <v>5562.86</v>
      </c>
      <c r="J421" s="1">
        <v>3148.64</v>
      </c>
      <c r="K421" s="8" t="str">
        <f t="shared" si="6"/>
        <v>Jul</v>
      </c>
    </row>
    <row r="422" spans="1:11">
      <c r="A422" s="1" t="s">
        <v>446</v>
      </c>
      <c r="B422" s="2">
        <v>45773</v>
      </c>
      <c r="C422" s="1" t="s">
        <v>31</v>
      </c>
      <c r="D422" s="1" t="s">
        <v>17</v>
      </c>
      <c r="E422" s="1" t="s">
        <v>18</v>
      </c>
      <c r="F422" s="1">
        <v>157</v>
      </c>
      <c r="G422" s="1">
        <v>13.78</v>
      </c>
      <c r="H422" s="1">
        <v>2163.46</v>
      </c>
      <c r="I422" s="1">
        <v>1608.18</v>
      </c>
      <c r="J422" s="1">
        <v>555.28</v>
      </c>
      <c r="K422" s="8" t="str">
        <f t="shared" si="6"/>
        <v>Apr</v>
      </c>
    </row>
    <row r="423" spans="1:11">
      <c r="A423" s="1" t="s">
        <v>447</v>
      </c>
      <c r="B423" s="2">
        <v>45895</v>
      </c>
      <c r="C423" s="1" t="s">
        <v>31</v>
      </c>
      <c r="D423" s="1" t="s">
        <v>29</v>
      </c>
      <c r="E423" s="1" t="s">
        <v>33</v>
      </c>
      <c r="F423" s="1">
        <v>77</v>
      </c>
      <c r="G423" s="1">
        <v>38.1</v>
      </c>
      <c r="H423" s="1">
        <v>2933.7</v>
      </c>
      <c r="I423" s="1">
        <v>1863.72</v>
      </c>
      <c r="J423" s="1">
        <v>1069.98</v>
      </c>
      <c r="K423" s="8" t="str">
        <f t="shared" si="6"/>
        <v>Aug</v>
      </c>
    </row>
    <row r="424" spans="1:11">
      <c r="A424" s="1" t="s">
        <v>448</v>
      </c>
      <c r="B424" s="2">
        <v>46011</v>
      </c>
      <c r="C424" s="1" t="s">
        <v>36</v>
      </c>
      <c r="D424" s="1" t="s">
        <v>29</v>
      </c>
      <c r="E424" s="1" t="s">
        <v>18</v>
      </c>
      <c r="F424" s="1">
        <v>189</v>
      </c>
      <c r="G424" s="1">
        <v>36.909999999999997</v>
      </c>
      <c r="H424" s="1">
        <v>6975.99</v>
      </c>
      <c r="I424" s="1">
        <v>4220.84</v>
      </c>
      <c r="J424" s="1">
        <v>2755.15</v>
      </c>
      <c r="K424" s="8" t="str">
        <f t="shared" si="6"/>
        <v>Dec</v>
      </c>
    </row>
    <row r="425" spans="1:11">
      <c r="A425" s="1" t="s">
        <v>449</v>
      </c>
      <c r="B425" s="2">
        <v>45785</v>
      </c>
      <c r="C425" s="1" t="s">
        <v>22</v>
      </c>
      <c r="D425" s="1" t="s">
        <v>17</v>
      </c>
      <c r="E425" s="1" t="s">
        <v>26</v>
      </c>
      <c r="F425" s="1">
        <v>215</v>
      </c>
      <c r="G425" s="1">
        <v>20.56</v>
      </c>
      <c r="H425" s="1">
        <v>4420.3999999999996</v>
      </c>
      <c r="I425" s="1">
        <v>3208.17</v>
      </c>
      <c r="J425" s="1">
        <v>1212.23</v>
      </c>
      <c r="K425" s="8" t="str">
        <f t="shared" si="6"/>
        <v>May</v>
      </c>
    </row>
    <row r="426" spans="1:11">
      <c r="A426" s="1" t="s">
        <v>450</v>
      </c>
      <c r="B426" s="2">
        <v>45796</v>
      </c>
      <c r="C426" s="1" t="s">
        <v>16</v>
      </c>
      <c r="D426" s="1" t="s">
        <v>29</v>
      </c>
      <c r="E426" s="1" t="s">
        <v>20</v>
      </c>
      <c r="F426" s="1">
        <v>122</v>
      </c>
      <c r="G426" s="1">
        <v>31.38</v>
      </c>
      <c r="H426" s="1">
        <v>3828.36</v>
      </c>
      <c r="I426" s="1">
        <v>2327.9899999999998</v>
      </c>
      <c r="J426" s="1">
        <v>1500.37</v>
      </c>
      <c r="K426" s="8" t="str">
        <f t="shared" si="6"/>
        <v>May</v>
      </c>
    </row>
    <row r="427" spans="1:11">
      <c r="A427" s="1" t="s">
        <v>451</v>
      </c>
      <c r="B427" s="2">
        <v>45878</v>
      </c>
      <c r="C427" s="1" t="s">
        <v>36</v>
      </c>
      <c r="D427" s="1" t="s">
        <v>13</v>
      </c>
      <c r="E427" s="1" t="s">
        <v>23</v>
      </c>
      <c r="F427" s="1">
        <v>111</v>
      </c>
      <c r="G427" s="1">
        <v>32.71</v>
      </c>
      <c r="H427" s="1">
        <v>3630.81</v>
      </c>
      <c r="I427" s="1">
        <v>2291.9</v>
      </c>
      <c r="J427" s="1">
        <v>1338.91</v>
      </c>
      <c r="K427" s="8" t="str">
        <f t="shared" si="6"/>
        <v>Aug</v>
      </c>
    </row>
    <row r="428" spans="1:11">
      <c r="A428" s="1" t="s">
        <v>452</v>
      </c>
      <c r="B428" s="2">
        <v>45817</v>
      </c>
      <c r="C428" s="1" t="s">
        <v>28</v>
      </c>
      <c r="D428" s="1" t="s">
        <v>29</v>
      </c>
      <c r="E428" s="1" t="s">
        <v>23</v>
      </c>
      <c r="F428" s="1">
        <v>101</v>
      </c>
      <c r="G428" s="1">
        <v>26.94</v>
      </c>
      <c r="H428" s="1">
        <v>2720.94</v>
      </c>
      <c r="I428" s="1">
        <v>1756.45</v>
      </c>
      <c r="J428" s="1">
        <v>964.49</v>
      </c>
      <c r="K428" s="8" t="str">
        <f t="shared" si="6"/>
        <v>Jun</v>
      </c>
    </row>
    <row r="429" spans="1:11">
      <c r="A429" s="1" t="s">
        <v>453</v>
      </c>
      <c r="B429" s="2">
        <v>45788</v>
      </c>
      <c r="C429" s="1" t="s">
        <v>16</v>
      </c>
      <c r="D429" s="1" t="s">
        <v>13</v>
      </c>
      <c r="E429" s="1" t="s">
        <v>33</v>
      </c>
      <c r="F429" s="1">
        <v>232</v>
      </c>
      <c r="G429" s="1">
        <v>30.1</v>
      </c>
      <c r="H429" s="1">
        <v>6983.2</v>
      </c>
      <c r="I429" s="1">
        <v>4993.37</v>
      </c>
      <c r="J429" s="1">
        <v>1989.83</v>
      </c>
      <c r="K429" s="8" t="str">
        <f t="shared" si="6"/>
        <v>May</v>
      </c>
    </row>
    <row r="430" spans="1:11">
      <c r="A430" s="1" t="s">
        <v>454</v>
      </c>
      <c r="B430" s="2">
        <v>45804</v>
      </c>
      <c r="C430" s="1" t="s">
        <v>36</v>
      </c>
      <c r="D430" s="1" t="s">
        <v>13</v>
      </c>
      <c r="E430" s="1" t="s">
        <v>20</v>
      </c>
      <c r="F430" s="1">
        <v>31</v>
      </c>
      <c r="G430" s="1">
        <v>36.25</v>
      </c>
      <c r="H430" s="1">
        <v>1123.75</v>
      </c>
      <c r="I430" s="1">
        <v>805.76</v>
      </c>
      <c r="J430" s="1">
        <v>317.99</v>
      </c>
      <c r="K430" s="8" t="str">
        <f t="shared" si="6"/>
        <v>May</v>
      </c>
    </row>
    <row r="431" spans="1:11">
      <c r="A431" s="1" t="s">
        <v>455</v>
      </c>
      <c r="B431" s="2">
        <v>46006</v>
      </c>
      <c r="C431" s="1" t="s">
        <v>31</v>
      </c>
      <c r="D431" s="1" t="s">
        <v>29</v>
      </c>
      <c r="E431" s="1" t="s">
        <v>26</v>
      </c>
      <c r="F431" s="1">
        <v>66</v>
      </c>
      <c r="G431" s="1">
        <v>11.11</v>
      </c>
      <c r="H431" s="1">
        <v>733.26</v>
      </c>
      <c r="I431" s="1">
        <v>486.67</v>
      </c>
      <c r="J431" s="1">
        <v>246.59</v>
      </c>
      <c r="K431" s="8" t="str">
        <f t="shared" si="6"/>
        <v>Dec</v>
      </c>
    </row>
    <row r="432" spans="1:11">
      <c r="A432" s="1" t="s">
        <v>456</v>
      </c>
      <c r="B432" s="2">
        <v>45871</v>
      </c>
      <c r="C432" s="1" t="s">
        <v>22</v>
      </c>
      <c r="D432" s="1" t="s">
        <v>17</v>
      </c>
      <c r="E432" s="1" t="s">
        <v>23</v>
      </c>
      <c r="F432" s="1">
        <v>211</v>
      </c>
      <c r="G432" s="1">
        <v>39.94</v>
      </c>
      <c r="H432" s="1">
        <v>8427.34</v>
      </c>
      <c r="I432" s="1">
        <v>6093.53</v>
      </c>
      <c r="J432" s="1">
        <v>2333.81</v>
      </c>
      <c r="K432" s="8" t="str">
        <f t="shared" si="6"/>
        <v>Aug</v>
      </c>
    </row>
    <row r="433" spans="1:11">
      <c r="A433" s="1" t="s">
        <v>457</v>
      </c>
      <c r="B433" s="2">
        <v>45704</v>
      </c>
      <c r="C433" s="1" t="s">
        <v>31</v>
      </c>
      <c r="D433" s="1" t="s">
        <v>29</v>
      </c>
      <c r="E433" s="1" t="s">
        <v>23</v>
      </c>
      <c r="F433" s="1">
        <v>188</v>
      </c>
      <c r="G433" s="1">
        <v>38.39</v>
      </c>
      <c r="H433" s="1">
        <v>7217.32</v>
      </c>
      <c r="I433" s="1">
        <v>4942.3900000000003</v>
      </c>
      <c r="J433" s="1">
        <v>2274.9299999999998</v>
      </c>
      <c r="K433" s="8" t="str">
        <f t="shared" si="6"/>
        <v>Feb</v>
      </c>
    </row>
    <row r="434" spans="1:11">
      <c r="A434" s="1" t="s">
        <v>458</v>
      </c>
      <c r="B434" s="2">
        <v>46010</v>
      </c>
      <c r="C434" s="1" t="s">
        <v>22</v>
      </c>
      <c r="D434" s="1" t="s">
        <v>17</v>
      </c>
      <c r="E434" s="1" t="s">
        <v>33</v>
      </c>
      <c r="F434" s="1">
        <v>241</v>
      </c>
      <c r="G434" s="1">
        <v>25.26</v>
      </c>
      <c r="H434" s="1">
        <v>6087.66</v>
      </c>
      <c r="I434" s="1">
        <v>4476.3599999999997</v>
      </c>
      <c r="J434" s="1">
        <v>1611.3</v>
      </c>
      <c r="K434" s="8" t="str">
        <f t="shared" si="6"/>
        <v>Dec</v>
      </c>
    </row>
    <row r="435" spans="1:11">
      <c r="A435" s="1" t="s">
        <v>459</v>
      </c>
      <c r="B435" s="2">
        <v>45920</v>
      </c>
      <c r="C435" s="1" t="s">
        <v>36</v>
      </c>
      <c r="D435" s="1" t="s">
        <v>29</v>
      </c>
      <c r="E435" s="1" t="s">
        <v>14</v>
      </c>
      <c r="F435" s="1">
        <v>75</v>
      </c>
      <c r="G435" s="1">
        <v>24.69</v>
      </c>
      <c r="H435" s="1">
        <v>1851.75</v>
      </c>
      <c r="I435" s="1">
        <v>1181.1600000000001</v>
      </c>
      <c r="J435" s="1">
        <v>670.59</v>
      </c>
      <c r="K435" s="8" t="str">
        <f t="shared" si="6"/>
        <v>Sep</v>
      </c>
    </row>
    <row r="436" spans="1:11">
      <c r="A436" s="1" t="s">
        <v>460</v>
      </c>
      <c r="B436" s="2">
        <v>45747</v>
      </c>
      <c r="C436" s="1" t="s">
        <v>22</v>
      </c>
      <c r="D436" s="1" t="s">
        <v>29</v>
      </c>
      <c r="E436" s="1" t="s">
        <v>14</v>
      </c>
      <c r="F436" s="1">
        <v>289</v>
      </c>
      <c r="G436" s="1">
        <v>14.91</v>
      </c>
      <c r="H436" s="1">
        <v>4308.99</v>
      </c>
      <c r="I436" s="1">
        <v>3258.34</v>
      </c>
      <c r="J436" s="1">
        <v>1050.6500000000001</v>
      </c>
      <c r="K436" s="8" t="str">
        <f t="shared" si="6"/>
        <v>Mar</v>
      </c>
    </row>
    <row r="437" spans="1:11">
      <c r="A437" s="1" t="s">
        <v>461</v>
      </c>
      <c r="B437" s="2">
        <v>45785</v>
      </c>
      <c r="C437" s="1" t="s">
        <v>16</v>
      </c>
      <c r="D437" s="1" t="s">
        <v>13</v>
      </c>
      <c r="E437" s="1" t="s">
        <v>33</v>
      </c>
      <c r="F437" s="1">
        <v>40</v>
      </c>
      <c r="G437" s="1">
        <v>15.04</v>
      </c>
      <c r="H437" s="1">
        <v>601.6</v>
      </c>
      <c r="I437" s="1">
        <v>402.74</v>
      </c>
      <c r="J437" s="1">
        <v>198.86</v>
      </c>
      <c r="K437" s="8" t="str">
        <f t="shared" si="6"/>
        <v>May</v>
      </c>
    </row>
    <row r="438" spans="1:11">
      <c r="A438" s="1" t="s">
        <v>462</v>
      </c>
      <c r="B438" s="2">
        <v>45817</v>
      </c>
      <c r="C438" s="1" t="s">
        <v>36</v>
      </c>
      <c r="D438" s="1" t="s">
        <v>17</v>
      </c>
      <c r="E438" s="1" t="s">
        <v>20</v>
      </c>
      <c r="F438" s="1">
        <v>80</v>
      </c>
      <c r="G438" s="1">
        <v>14.1</v>
      </c>
      <c r="H438" s="1">
        <v>1128</v>
      </c>
      <c r="I438" s="1">
        <v>836.29</v>
      </c>
      <c r="J438" s="1">
        <v>291.70999999999998</v>
      </c>
      <c r="K438" s="8" t="str">
        <f t="shared" si="6"/>
        <v>Jun</v>
      </c>
    </row>
    <row r="439" spans="1:11">
      <c r="A439" s="1" t="s">
        <v>463</v>
      </c>
      <c r="B439" s="2">
        <v>46019</v>
      </c>
      <c r="C439" s="1" t="s">
        <v>22</v>
      </c>
      <c r="D439" s="1" t="s">
        <v>29</v>
      </c>
      <c r="E439" s="1" t="s">
        <v>14</v>
      </c>
      <c r="F439" s="1">
        <v>133</v>
      </c>
      <c r="G439" s="1">
        <v>10.18</v>
      </c>
      <c r="H439" s="1">
        <v>1353.94</v>
      </c>
      <c r="I439" s="1">
        <v>999.62</v>
      </c>
      <c r="J439" s="1">
        <v>354.32</v>
      </c>
      <c r="K439" s="8" t="str">
        <f t="shared" si="6"/>
        <v>Dec</v>
      </c>
    </row>
    <row r="440" spans="1:11">
      <c r="A440" s="1" t="s">
        <v>464</v>
      </c>
      <c r="B440" s="2">
        <v>46015</v>
      </c>
      <c r="C440" s="1" t="s">
        <v>12</v>
      </c>
      <c r="D440" s="1" t="s">
        <v>29</v>
      </c>
      <c r="E440" s="1" t="s">
        <v>20</v>
      </c>
      <c r="F440" s="1">
        <v>163</v>
      </c>
      <c r="G440" s="1">
        <v>14</v>
      </c>
      <c r="H440" s="1">
        <v>2282</v>
      </c>
      <c r="I440" s="1">
        <v>1692.2</v>
      </c>
      <c r="J440" s="1">
        <v>589.79999999999995</v>
      </c>
      <c r="K440" s="8" t="str">
        <f t="shared" si="6"/>
        <v>Dec</v>
      </c>
    </row>
    <row r="441" spans="1:11">
      <c r="A441" s="1" t="s">
        <v>465</v>
      </c>
      <c r="B441" s="2">
        <v>45828</v>
      </c>
      <c r="C441" s="1" t="s">
        <v>22</v>
      </c>
      <c r="D441" s="1" t="s">
        <v>29</v>
      </c>
      <c r="E441" s="1" t="s">
        <v>33</v>
      </c>
      <c r="F441" s="1">
        <v>70</v>
      </c>
      <c r="G441" s="1">
        <v>26.45</v>
      </c>
      <c r="H441" s="1">
        <v>1851.5</v>
      </c>
      <c r="I441" s="1">
        <v>1392.52</v>
      </c>
      <c r="J441" s="1">
        <v>458.98</v>
      </c>
      <c r="K441" s="8" t="str">
        <f t="shared" si="6"/>
        <v>Jun</v>
      </c>
    </row>
    <row r="442" spans="1:11">
      <c r="A442" s="1" t="s">
        <v>466</v>
      </c>
      <c r="B442" s="2">
        <v>45737</v>
      </c>
      <c r="C442" s="1" t="s">
        <v>22</v>
      </c>
      <c r="D442" s="1" t="s">
        <v>13</v>
      </c>
      <c r="E442" s="1" t="s">
        <v>33</v>
      </c>
      <c r="F442" s="1">
        <v>246</v>
      </c>
      <c r="G442" s="1">
        <v>35.18</v>
      </c>
      <c r="H442" s="1">
        <v>8654.2800000000007</v>
      </c>
      <c r="I442" s="1">
        <v>5895.47</v>
      </c>
      <c r="J442" s="1">
        <v>2758.81</v>
      </c>
      <c r="K442" s="8" t="str">
        <f t="shared" si="6"/>
        <v>Mar</v>
      </c>
    </row>
    <row r="443" spans="1:11">
      <c r="A443" s="1" t="s">
        <v>467</v>
      </c>
      <c r="B443" s="2">
        <v>45806</v>
      </c>
      <c r="C443" s="1" t="s">
        <v>16</v>
      </c>
      <c r="D443" s="1" t="s">
        <v>17</v>
      </c>
      <c r="E443" s="1" t="s">
        <v>14</v>
      </c>
      <c r="F443" s="1">
        <v>16</v>
      </c>
      <c r="G443" s="1">
        <v>20.81</v>
      </c>
      <c r="H443" s="1">
        <v>332.96</v>
      </c>
      <c r="I443" s="1">
        <v>213.52</v>
      </c>
      <c r="J443" s="1">
        <v>119.44</v>
      </c>
      <c r="K443" s="8" t="str">
        <f t="shared" si="6"/>
        <v>May</v>
      </c>
    </row>
    <row r="444" spans="1:11">
      <c r="A444" s="1" t="s">
        <v>468</v>
      </c>
      <c r="B444" s="2">
        <v>45758</v>
      </c>
      <c r="C444" s="1" t="s">
        <v>16</v>
      </c>
      <c r="D444" s="1" t="s">
        <v>13</v>
      </c>
      <c r="E444" s="1" t="s">
        <v>14</v>
      </c>
      <c r="F444" s="1">
        <v>66</v>
      </c>
      <c r="G444" s="1">
        <v>31.05</v>
      </c>
      <c r="H444" s="1">
        <v>2049.3000000000002</v>
      </c>
      <c r="I444" s="1">
        <v>1413.2</v>
      </c>
      <c r="J444" s="1">
        <v>636.1</v>
      </c>
      <c r="K444" s="8" t="str">
        <f t="shared" si="6"/>
        <v>Apr</v>
      </c>
    </row>
    <row r="445" spans="1:11">
      <c r="A445" s="1" t="s">
        <v>469</v>
      </c>
      <c r="B445" s="2">
        <v>45885</v>
      </c>
      <c r="C445" s="1" t="s">
        <v>12</v>
      </c>
      <c r="D445" s="1" t="s">
        <v>13</v>
      </c>
      <c r="E445" s="1" t="s">
        <v>26</v>
      </c>
      <c r="F445" s="1">
        <v>249</v>
      </c>
      <c r="G445" s="1">
        <v>27.08</v>
      </c>
      <c r="H445" s="1">
        <v>6742.92</v>
      </c>
      <c r="I445" s="1">
        <v>4436.17</v>
      </c>
      <c r="J445" s="1">
        <v>2306.75</v>
      </c>
      <c r="K445" s="8" t="str">
        <f t="shared" si="6"/>
        <v>Aug</v>
      </c>
    </row>
    <row r="446" spans="1:11">
      <c r="A446" s="1" t="s">
        <v>470</v>
      </c>
      <c r="B446" s="2">
        <v>45663</v>
      </c>
      <c r="C446" s="1" t="s">
        <v>16</v>
      </c>
      <c r="D446" s="1" t="s">
        <v>29</v>
      </c>
      <c r="E446" s="1" t="s">
        <v>33</v>
      </c>
      <c r="F446" s="1">
        <v>249</v>
      </c>
      <c r="G446" s="1">
        <v>39.76</v>
      </c>
      <c r="H446" s="1">
        <v>9900.24</v>
      </c>
      <c r="I446" s="1">
        <v>7426.06</v>
      </c>
      <c r="J446" s="1">
        <v>2474.1799999999998</v>
      </c>
      <c r="K446" s="8" t="str">
        <f t="shared" si="6"/>
        <v>Jan</v>
      </c>
    </row>
    <row r="447" spans="1:11">
      <c r="A447" s="1" t="s">
        <v>471</v>
      </c>
      <c r="B447" s="2">
        <v>45827</v>
      </c>
      <c r="C447" s="1" t="s">
        <v>28</v>
      </c>
      <c r="D447" s="1" t="s">
        <v>17</v>
      </c>
      <c r="E447" s="1" t="s">
        <v>20</v>
      </c>
      <c r="F447" s="1">
        <v>298</v>
      </c>
      <c r="G447" s="1">
        <v>17.93</v>
      </c>
      <c r="H447" s="1">
        <v>5343.14</v>
      </c>
      <c r="I447" s="1">
        <v>3895.26</v>
      </c>
      <c r="J447" s="1">
        <v>1447.88</v>
      </c>
      <c r="K447" s="8" t="str">
        <f t="shared" si="6"/>
        <v>Jun</v>
      </c>
    </row>
    <row r="448" spans="1:11">
      <c r="A448" s="1" t="s">
        <v>472</v>
      </c>
      <c r="B448" s="2">
        <v>45936</v>
      </c>
      <c r="C448" s="1" t="s">
        <v>36</v>
      </c>
      <c r="D448" s="1" t="s">
        <v>17</v>
      </c>
      <c r="E448" s="1" t="s">
        <v>33</v>
      </c>
      <c r="F448" s="1">
        <v>174</v>
      </c>
      <c r="G448" s="1">
        <v>10.25</v>
      </c>
      <c r="H448" s="1">
        <v>1783.5</v>
      </c>
      <c r="I448" s="1">
        <v>1398.11</v>
      </c>
      <c r="J448" s="1">
        <v>385.39</v>
      </c>
      <c r="K448" s="8" t="str">
        <f t="shared" si="6"/>
        <v>Oct</v>
      </c>
    </row>
    <row r="449" spans="1:11">
      <c r="A449" s="1" t="s">
        <v>473</v>
      </c>
      <c r="B449" s="2">
        <v>45972</v>
      </c>
      <c r="C449" s="1" t="s">
        <v>36</v>
      </c>
      <c r="D449" s="1" t="s">
        <v>13</v>
      </c>
      <c r="E449" s="1" t="s">
        <v>26</v>
      </c>
      <c r="F449" s="1">
        <v>138</v>
      </c>
      <c r="G449" s="1">
        <v>29.59</v>
      </c>
      <c r="H449" s="1">
        <v>4083.42</v>
      </c>
      <c r="I449" s="1">
        <v>2513.87</v>
      </c>
      <c r="J449" s="1">
        <v>1569.55</v>
      </c>
      <c r="K449" s="8" t="str">
        <f t="shared" si="6"/>
        <v>Nov</v>
      </c>
    </row>
    <row r="450" spans="1:11">
      <c r="A450" s="1" t="s">
        <v>474</v>
      </c>
      <c r="B450" s="2">
        <v>45860</v>
      </c>
      <c r="C450" s="1" t="s">
        <v>36</v>
      </c>
      <c r="D450" s="1" t="s">
        <v>29</v>
      </c>
      <c r="E450" s="1" t="s">
        <v>33</v>
      </c>
      <c r="F450" s="1">
        <v>84</v>
      </c>
      <c r="G450" s="1">
        <v>18.89</v>
      </c>
      <c r="H450" s="1">
        <v>1586.76</v>
      </c>
      <c r="I450" s="1">
        <v>1011</v>
      </c>
      <c r="J450" s="1">
        <v>575.76</v>
      </c>
      <c r="K450" s="8" t="str">
        <f t="shared" ref="K450:K513" si="7">TEXT(B450,"mmm")</f>
        <v>Jul</v>
      </c>
    </row>
    <row r="451" spans="1:11">
      <c r="A451" s="1" t="s">
        <v>475</v>
      </c>
      <c r="B451" s="2">
        <v>45744</v>
      </c>
      <c r="C451" s="1" t="s">
        <v>36</v>
      </c>
      <c r="D451" s="1" t="s">
        <v>29</v>
      </c>
      <c r="E451" s="1" t="s">
        <v>14</v>
      </c>
      <c r="F451" s="1">
        <v>62</v>
      </c>
      <c r="G451" s="1">
        <v>33.54</v>
      </c>
      <c r="H451" s="1">
        <v>2079.48</v>
      </c>
      <c r="I451" s="1">
        <v>1593.05</v>
      </c>
      <c r="J451" s="1">
        <v>486.43</v>
      </c>
      <c r="K451" s="8" t="str">
        <f t="shared" si="7"/>
        <v>Mar</v>
      </c>
    </row>
    <row r="452" spans="1:11">
      <c r="A452" s="1" t="s">
        <v>476</v>
      </c>
      <c r="B452" s="2">
        <v>45852</v>
      </c>
      <c r="C452" s="1" t="s">
        <v>22</v>
      </c>
      <c r="D452" s="1" t="s">
        <v>17</v>
      </c>
      <c r="E452" s="1" t="s">
        <v>20</v>
      </c>
      <c r="F452" s="1">
        <v>104</v>
      </c>
      <c r="G452" s="1">
        <v>29.42</v>
      </c>
      <c r="H452" s="1">
        <v>3059.68</v>
      </c>
      <c r="I452" s="1">
        <v>2053.81</v>
      </c>
      <c r="J452" s="1">
        <v>1005.87</v>
      </c>
      <c r="K452" s="8" t="str">
        <f t="shared" si="7"/>
        <v>Jul</v>
      </c>
    </row>
    <row r="453" spans="1:11">
      <c r="A453" s="1" t="s">
        <v>477</v>
      </c>
      <c r="B453" s="2">
        <v>45940</v>
      </c>
      <c r="C453" s="1" t="s">
        <v>16</v>
      </c>
      <c r="D453" s="1" t="s">
        <v>13</v>
      </c>
      <c r="E453" s="1" t="s">
        <v>26</v>
      </c>
      <c r="F453" s="1">
        <v>199</v>
      </c>
      <c r="G453" s="1">
        <v>35.130000000000003</v>
      </c>
      <c r="H453" s="1">
        <v>6990.87</v>
      </c>
      <c r="I453" s="1">
        <v>4549.03</v>
      </c>
      <c r="J453" s="1">
        <v>2441.84</v>
      </c>
      <c r="K453" s="8" t="str">
        <f t="shared" si="7"/>
        <v>Oct</v>
      </c>
    </row>
    <row r="454" spans="1:11">
      <c r="A454" s="1" t="s">
        <v>478</v>
      </c>
      <c r="B454" s="2">
        <v>45948</v>
      </c>
      <c r="C454" s="1" t="s">
        <v>28</v>
      </c>
      <c r="D454" s="1" t="s">
        <v>17</v>
      </c>
      <c r="E454" s="1" t="s">
        <v>18</v>
      </c>
      <c r="F454" s="1">
        <v>216</v>
      </c>
      <c r="G454" s="1">
        <v>37.159999999999997</v>
      </c>
      <c r="H454" s="1">
        <v>8026.56</v>
      </c>
      <c r="I454" s="1">
        <v>6332.85</v>
      </c>
      <c r="J454" s="1">
        <v>1693.71</v>
      </c>
      <c r="K454" s="8" t="str">
        <f t="shared" si="7"/>
        <v>Oct</v>
      </c>
    </row>
    <row r="455" spans="1:11">
      <c r="A455" s="1" t="s">
        <v>479</v>
      </c>
      <c r="B455" s="2">
        <v>45738</v>
      </c>
      <c r="C455" s="1" t="s">
        <v>22</v>
      </c>
      <c r="D455" s="1" t="s">
        <v>29</v>
      </c>
      <c r="E455" s="1" t="s">
        <v>20</v>
      </c>
      <c r="F455" s="1">
        <v>163</v>
      </c>
      <c r="G455" s="1">
        <v>28.08</v>
      </c>
      <c r="H455" s="1">
        <v>4577.04</v>
      </c>
      <c r="I455" s="1">
        <v>3319.72</v>
      </c>
      <c r="J455" s="1">
        <v>1257.32</v>
      </c>
      <c r="K455" s="8" t="str">
        <f t="shared" si="7"/>
        <v>Mar</v>
      </c>
    </row>
    <row r="456" spans="1:11">
      <c r="A456" s="1" t="s">
        <v>480</v>
      </c>
      <c r="B456" s="2">
        <v>45741</v>
      </c>
      <c r="C456" s="1" t="s">
        <v>16</v>
      </c>
      <c r="D456" s="1" t="s">
        <v>13</v>
      </c>
      <c r="E456" s="1" t="s">
        <v>18</v>
      </c>
      <c r="F456" s="1">
        <v>80</v>
      </c>
      <c r="G456" s="1">
        <v>23.3</v>
      </c>
      <c r="H456" s="1">
        <v>1864</v>
      </c>
      <c r="I456" s="1">
        <v>1479.95</v>
      </c>
      <c r="J456" s="1">
        <v>384.05</v>
      </c>
      <c r="K456" s="8" t="str">
        <f t="shared" si="7"/>
        <v>Mar</v>
      </c>
    </row>
    <row r="457" spans="1:11">
      <c r="A457" s="1" t="s">
        <v>481</v>
      </c>
      <c r="B457" s="2">
        <v>45903</v>
      </c>
      <c r="C457" s="1" t="s">
        <v>16</v>
      </c>
      <c r="D457" s="1" t="s">
        <v>29</v>
      </c>
      <c r="E457" s="1" t="s">
        <v>23</v>
      </c>
      <c r="F457" s="1">
        <v>107</v>
      </c>
      <c r="G457" s="1">
        <v>16.55</v>
      </c>
      <c r="H457" s="1">
        <v>1770.85</v>
      </c>
      <c r="I457" s="1">
        <v>1194.43</v>
      </c>
      <c r="J457" s="1">
        <v>576.41999999999996</v>
      </c>
      <c r="K457" s="8" t="str">
        <f t="shared" si="7"/>
        <v>Sep</v>
      </c>
    </row>
    <row r="458" spans="1:11">
      <c r="A458" s="1" t="s">
        <v>482</v>
      </c>
      <c r="B458" s="2">
        <v>45875</v>
      </c>
      <c r="C458" s="1" t="s">
        <v>12</v>
      </c>
      <c r="D458" s="1" t="s">
        <v>29</v>
      </c>
      <c r="E458" s="1" t="s">
        <v>18</v>
      </c>
      <c r="F458" s="1">
        <v>83</v>
      </c>
      <c r="G458" s="1">
        <v>18.5</v>
      </c>
      <c r="H458" s="1">
        <v>1535.5</v>
      </c>
      <c r="I458" s="1">
        <v>1124.49</v>
      </c>
      <c r="J458" s="1">
        <v>411.01</v>
      </c>
      <c r="K458" s="8" t="str">
        <f t="shared" si="7"/>
        <v>Aug</v>
      </c>
    </row>
    <row r="459" spans="1:11">
      <c r="A459" s="1" t="s">
        <v>483</v>
      </c>
      <c r="B459" s="2">
        <v>45831</v>
      </c>
      <c r="C459" s="1" t="s">
        <v>22</v>
      </c>
      <c r="D459" s="1" t="s">
        <v>29</v>
      </c>
      <c r="E459" s="1" t="s">
        <v>20</v>
      </c>
      <c r="F459" s="1">
        <v>42</v>
      </c>
      <c r="G459" s="1">
        <v>23.16</v>
      </c>
      <c r="H459" s="1">
        <v>972.72</v>
      </c>
      <c r="I459" s="1">
        <v>713.22</v>
      </c>
      <c r="J459" s="1">
        <v>259.5</v>
      </c>
      <c r="K459" s="8" t="str">
        <f t="shared" si="7"/>
        <v>Jun</v>
      </c>
    </row>
    <row r="460" spans="1:11">
      <c r="A460" s="1" t="s">
        <v>484</v>
      </c>
      <c r="B460" s="2">
        <v>45851</v>
      </c>
      <c r="C460" s="1" t="s">
        <v>36</v>
      </c>
      <c r="D460" s="1" t="s">
        <v>17</v>
      </c>
      <c r="E460" s="1" t="s">
        <v>23</v>
      </c>
      <c r="F460" s="1">
        <v>161</v>
      </c>
      <c r="G460" s="1">
        <v>10.130000000000001</v>
      </c>
      <c r="H460" s="1">
        <v>1630.93</v>
      </c>
      <c r="I460" s="1">
        <v>1240.8599999999999</v>
      </c>
      <c r="J460" s="1">
        <v>390.07</v>
      </c>
      <c r="K460" s="8" t="str">
        <f t="shared" si="7"/>
        <v>Jul</v>
      </c>
    </row>
    <row r="461" spans="1:11">
      <c r="A461" s="1" t="s">
        <v>485</v>
      </c>
      <c r="B461" s="2">
        <v>45758</v>
      </c>
      <c r="C461" s="1" t="s">
        <v>28</v>
      </c>
      <c r="D461" s="1" t="s">
        <v>17</v>
      </c>
      <c r="E461" s="1" t="s">
        <v>23</v>
      </c>
      <c r="F461" s="1">
        <v>250</v>
      </c>
      <c r="G461" s="1">
        <v>12.55</v>
      </c>
      <c r="H461" s="1">
        <v>3137.5</v>
      </c>
      <c r="I461" s="1">
        <v>2085.62</v>
      </c>
      <c r="J461" s="1">
        <v>1051.8800000000001</v>
      </c>
      <c r="K461" s="8" t="str">
        <f t="shared" si="7"/>
        <v>Apr</v>
      </c>
    </row>
    <row r="462" spans="1:11">
      <c r="A462" s="1" t="s">
        <v>486</v>
      </c>
      <c r="B462" s="2">
        <v>45978</v>
      </c>
      <c r="C462" s="1" t="s">
        <v>12</v>
      </c>
      <c r="D462" s="1" t="s">
        <v>13</v>
      </c>
      <c r="E462" s="1" t="s">
        <v>26</v>
      </c>
      <c r="F462" s="1">
        <v>89</v>
      </c>
      <c r="G462" s="1">
        <v>39.229999999999997</v>
      </c>
      <c r="H462" s="1">
        <v>3491.47</v>
      </c>
      <c r="I462" s="1">
        <v>2766.51</v>
      </c>
      <c r="J462" s="1">
        <v>724.96</v>
      </c>
      <c r="K462" s="8" t="str">
        <f t="shared" si="7"/>
        <v>Nov</v>
      </c>
    </row>
    <row r="463" spans="1:11">
      <c r="A463" s="1" t="s">
        <v>487</v>
      </c>
      <c r="B463" s="2">
        <v>46004</v>
      </c>
      <c r="C463" s="1" t="s">
        <v>12</v>
      </c>
      <c r="D463" s="1" t="s">
        <v>17</v>
      </c>
      <c r="E463" s="1" t="s">
        <v>14</v>
      </c>
      <c r="F463" s="1">
        <v>179</v>
      </c>
      <c r="G463" s="1">
        <v>28.27</v>
      </c>
      <c r="H463" s="1">
        <v>5060.33</v>
      </c>
      <c r="I463" s="1">
        <v>3336.82</v>
      </c>
      <c r="J463" s="1">
        <v>1723.51</v>
      </c>
      <c r="K463" s="8" t="str">
        <f t="shared" si="7"/>
        <v>Dec</v>
      </c>
    </row>
    <row r="464" spans="1:11">
      <c r="A464" s="1" t="s">
        <v>488</v>
      </c>
      <c r="B464" s="2">
        <v>45904</v>
      </c>
      <c r="C464" s="1" t="s">
        <v>36</v>
      </c>
      <c r="D464" s="1" t="s">
        <v>13</v>
      </c>
      <c r="E464" s="1" t="s">
        <v>20</v>
      </c>
      <c r="F464" s="1">
        <v>80</v>
      </c>
      <c r="G464" s="1">
        <v>18.98</v>
      </c>
      <c r="H464" s="1">
        <v>1518.4</v>
      </c>
      <c r="I464" s="1">
        <v>1015.33</v>
      </c>
      <c r="J464" s="1">
        <v>503.07</v>
      </c>
      <c r="K464" s="8" t="str">
        <f t="shared" si="7"/>
        <v>Sep</v>
      </c>
    </row>
    <row r="465" spans="1:11">
      <c r="A465" s="1" t="s">
        <v>489</v>
      </c>
      <c r="B465" s="2">
        <v>45771</v>
      </c>
      <c r="C465" s="1" t="s">
        <v>12</v>
      </c>
      <c r="D465" s="1" t="s">
        <v>17</v>
      </c>
      <c r="E465" s="1" t="s">
        <v>23</v>
      </c>
      <c r="F465" s="1">
        <v>239</v>
      </c>
      <c r="G465" s="1">
        <v>30.74</v>
      </c>
      <c r="H465" s="1">
        <v>7346.86</v>
      </c>
      <c r="I465" s="1">
        <v>4623.99</v>
      </c>
      <c r="J465" s="1">
        <v>2722.87</v>
      </c>
      <c r="K465" s="8" t="str">
        <f t="shared" si="7"/>
        <v>Apr</v>
      </c>
    </row>
    <row r="466" spans="1:11">
      <c r="A466" s="1" t="s">
        <v>490</v>
      </c>
      <c r="B466" s="2">
        <v>45955</v>
      </c>
      <c r="C466" s="1" t="s">
        <v>28</v>
      </c>
      <c r="D466" s="1" t="s">
        <v>17</v>
      </c>
      <c r="E466" s="1" t="s">
        <v>14</v>
      </c>
      <c r="F466" s="1">
        <v>223</v>
      </c>
      <c r="G466" s="1">
        <v>20.8</v>
      </c>
      <c r="H466" s="1">
        <v>4638.3999999999996</v>
      </c>
      <c r="I466" s="1">
        <v>3005.9</v>
      </c>
      <c r="J466" s="1">
        <v>1632.5</v>
      </c>
      <c r="K466" s="8" t="str">
        <f t="shared" si="7"/>
        <v>Oct</v>
      </c>
    </row>
    <row r="467" spans="1:11">
      <c r="A467" s="1" t="s">
        <v>491</v>
      </c>
      <c r="B467" s="2">
        <v>45716</v>
      </c>
      <c r="C467" s="1" t="s">
        <v>12</v>
      </c>
      <c r="D467" s="1" t="s">
        <v>29</v>
      </c>
      <c r="E467" s="1" t="s">
        <v>26</v>
      </c>
      <c r="F467" s="1">
        <v>126</v>
      </c>
      <c r="G467" s="1">
        <v>15.42</v>
      </c>
      <c r="H467" s="1">
        <v>1942.92</v>
      </c>
      <c r="I467" s="1">
        <v>1511.59</v>
      </c>
      <c r="J467" s="1">
        <v>431.33</v>
      </c>
      <c r="K467" s="8" t="str">
        <f t="shared" si="7"/>
        <v>Feb</v>
      </c>
    </row>
    <row r="468" spans="1:11">
      <c r="A468" s="1" t="s">
        <v>492</v>
      </c>
      <c r="B468" s="2">
        <v>45771</v>
      </c>
      <c r="C468" s="1" t="s">
        <v>36</v>
      </c>
      <c r="D468" s="1" t="s">
        <v>17</v>
      </c>
      <c r="E468" s="1" t="s">
        <v>33</v>
      </c>
      <c r="F468" s="1">
        <v>139</v>
      </c>
      <c r="G468" s="1">
        <v>29.49</v>
      </c>
      <c r="H468" s="1">
        <v>4099.1099999999997</v>
      </c>
      <c r="I468" s="1">
        <v>2613.2199999999998</v>
      </c>
      <c r="J468" s="1">
        <v>1485.89</v>
      </c>
      <c r="K468" s="8" t="str">
        <f t="shared" si="7"/>
        <v>Apr</v>
      </c>
    </row>
    <row r="469" spans="1:11">
      <c r="A469" s="1" t="s">
        <v>493</v>
      </c>
      <c r="B469" s="2">
        <v>45908</v>
      </c>
      <c r="C469" s="1" t="s">
        <v>12</v>
      </c>
      <c r="D469" s="1" t="s">
        <v>29</v>
      </c>
      <c r="E469" s="1" t="s">
        <v>26</v>
      </c>
      <c r="F469" s="1">
        <v>126</v>
      </c>
      <c r="G469" s="1">
        <v>26.62</v>
      </c>
      <c r="H469" s="1">
        <v>3354.12</v>
      </c>
      <c r="I469" s="1">
        <v>2164.4499999999998</v>
      </c>
      <c r="J469" s="1">
        <v>1189.67</v>
      </c>
      <c r="K469" s="8" t="str">
        <f t="shared" si="7"/>
        <v>Sep</v>
      </c>
    </row>
    <row r="470" spans="1:11">
      <c r="A470" s="1" t="s">
        <v>494</v>
      </c>
      <c r="B470" s="2">
        <v>45920</v>
      </c>
      <c r="C470" s="1" t="s">
        <v>16</v>
      </c>
      <c r="D470" s="1" t="s">
        <v>17</v>
      </c>
      <c r="E470" s="1" t="s">
        <v>20</v>
      </c>
      <c r="F470" s="1">
        <v>300</v>
      </c>
      <c r="G470" s="1">
        <v>12.41</v>
      </c>
      <c r="H470" s="1">
        <v>3723</v>
      </c>
      <c r="I470" s="1">
        <v>2537.62</v>
      </c>
      <c r="J470" s="1">
        <v>1185.3800000000001</v>
      </c>
      <c r="K470" s="8" t="str">
        <f t="shared" si="7"/>
        <v>Sep</v>
      </c>
    </row>
    <row r="471" spans="1:11">
      <c r="A471" s="1" t="s">
        <v>495</v>
      </c>
      <c r="B471" s="2">
        <v>45915</v>
      </c>
      <c r="C471" s="1" t="s">
        <v>16</v>
      </c>
      <c r="D471" s="1" t="s">
        <v>29</v>
      </c>
      <c r="E471" s="1" t="s">
        <v>33</v>
      </c>
      <c r="F471" s="1">
        <v>291</v>
      </c>
      <c r="G471" s="1">
        <v>25.22</v>
      </c>
      <c r="H471" s="1">
        <v>7339.02</v>
      </c>
      <c r="I471" s="1">
        <v>5634.24</v>
      </c>
      <c r="J471" s="1">
        <v>1704.78</v>
      </c>
      <c r="K471" s="8" t="str">
        <f t="shared" si="7"/>
        <v>Sep</v>
      </c>
    </row>
    <row r="472" spans="1:11">
      <c r="A472" s="1" t="s">
        <v>496</v>
      </c>
      <c r="B472" s="2">
        <v>45921</v>
      </c>
      <c r="C472" s="1" t="s">
        <v>12</v>
      </c>
      <c r="D472" s="1" t="s">
        <v>13</v>
      </c>
      <c r="E472" s="1" t="s">
        <v>20</v>
      </c>
      <c r="F472" s="1">
        <v>62</v>
      </c>
      <c r="G472" s="1">
        <v>23.8</v>
      </c>
      <c r="H472" s="1">
        <v>1475.6</v>
      </c>
      <c r="I472" s="1">
        <v>1087.8</v>
      </c>
      <c r="J472" s="1">
        <v>387.8</v>
      </c>
      <c r="K472" s="8" t="str">
        <f t="shared" si="7"/>
        <v>Sep</v>
      </c>
    </row>
    <row r="473" spans="1:11">
      <c r="A473" s="1" t="s">
        <v>497</v>
      </c>
      <c r="B473" s="2">
        <v>45946</v>
      </c>
      <c r="C473" s="1" t="s">
        <v>12</v>
      </c>
      <c r="D473" s="1" t="s">
        <v>13</v>
      </c>
      <c r="E473" s="1" t="s">
        <v>18</v>
      </c>
      <c r="F473" s="1">
        <v>253</v>
      </c>
      <c r="G473" s="1">
        <v>33.25</v>
      </c>
      <c r="H473" s="1">
        <v>8412.25</v>
      </c>
      <c r="I473" s="1">
        <v>5277.51</v>
      </c>
      <c r="J473" s="1">
        <v>3134.74</v>
      </c>
      <c r="K473" s="8" t="str">
        <f t="shared" si="7"/>
        <v>Oct</v>
      </c>
    </row>
    <row r="474" spans="1:11">
      <c r="A474" s="1" t="s">
        <v>498</v>
      </c>
      <c r="B474" s="2">
        <v>45779</v>
      </c>
      <c r="C474" s="1" t="s">
        <v>12</v>
      </c>
      <c r="D474" s="1" t="s">
        <v>13</v>
      </c>
      <c r="E474" s="1" t="s">
        <v>18</v>
      </c>
      <c r="F474" s="1">
        <v>34</v>
      </c>
      <c r="G474" s="1">
        <v>21.17</v>
      </c>
      <c r="H474" s="1">
        <v>719.78</v>
      </c>
      <c r="I474" s="1">
        <v>434.05</v>
      </c>
      <c r="J474" s="1">
        <v>285.73</v>
      </c>
      <c r="K474" s="8" t="str">
        <f t="shared" si="7"/>
        <v>May</v>
      </c>
    </row>
    <row r="475" spans="1:11">
      <c r="A475" s="1" t="s">
        <v>499</v>
      </c>
      <c r="B475" s="2">
        <v>45811</v>
      </c>
      <c r="C475" s="1" t="s">
        <v>16</v>
      </c>
      <c r="D475" s="1" t="s">
        <v>29</v>
      </c>
      <c r="E475" s="1" t="s">
        <v>20</v>
      </c>
      <c r="F475" s="1">
        <v>71</v>
      </c>
      <c r="G475" s="1">
        <v>31.22</v>
      </c>
      <c r="H475" s="1">
        <v>2216.62</v>
      </c>
      <c r="I475" s="1">
        <v>1518.82</v>
      </c>
      <c r="J475" s="1">
        <v>697.8</v>
      </c>
      <c r="K475" s="8" t="str">
        <f t="shared" si="7"/>
        <v>Jun</v>
      </c>
    </row>
    <row r="476" spans="1:11">
      <c r="A476" s="1" t="s">
        <v>500</v>
      </c>
      <c r="B476" s="2">
        <v>45946</v>
      </c>
      <c r="C476" s="1" t="s">
        <v>22</v>
      </c>
      <c r="D476" s="1" t="s">
        <v>17</v>
      </c>
      <c r="E476" s="1" t="s">
        <v>33</v>
      </c>
      <c r="F476" s="1">
        <v>68</v>
      </c>
      <c r="G476" s="1">
        <v>37.53</v>
      </c>
      <c r="H476" s="1">
        <v>2552.04</v>
      </c>
      <c r="I476" s="1">
        <v>1975.67</v>
      </c>
      <c r="J476" s="1">
        <v>576.37</v>
      </c>
      <c r="K476" s="8" t="str">
        <f t="shared" si="7"/>
        <v>Oct</v>
      </c>
    </row>
    <row r="477" spans="1:11">
      <c r="A477" s="1" t="s">
        <v>501</v>
      </c>
      <c r="B477" s="2">
        <v>45832</v>
      </c>
      <c r="C477" s="1" t="s">
        <v>31</v>
      </c>
      <c r="D477" s="1" t="s">
        <v>29</v>
      </c>
      <c r="E477" s="1" t="s">
        <v>33</v>
      </c>
      <c r="F477" s="1">
        <v>15</v>
      </c>
      <c r="G477" s="1">
        <v>34.770000000000003</v>
      </c>
      <c r="H477" s="1">
        <v>521.54999999999995</v>
      </c>
      <c r="I477" s="1">
        <v>325.73</v>
      </c>
      <c r="J477" s="1">
        <v>195.82</v>
      </c>
      <c r="K477" s="8" t="str">
        <f t="shared" si="7"/>
        <v>Jun</v>
      </c>
    </row>
    <row r="478" spans="1:11">
      <c r="A478" s="1" t="s">
        <v>502</v>
      </c>
      <c r="B478" s="2">
        <v>45926</v>
      </c>
      <c r="C478" s="1" t="s">
        <v>12</v>
      </c>
      <c r="D478" s="1" t="s">
        <v>17</v>
      </c>
      <c r="E478" s="1" t="s">
        <v>26</v>
      </c>
      <c r="F478" s="1">
        <v>192</v>
      </c>
      <c r="G478" s="1">
        <v>31.65</v>
      </c>
      <c r="H478" s="1">
        <v>6076.8</v>
      </c>
      <c r="I478" s="1">
        <v>3698.95</v>
      </c>
      <c r="J478" s="1">
        <v>2377.85</v>
      </c>
      <c r="K478" s="8" t="str">
        <f t="shared" si="7"/>
        <v>Sep</v>
      </c>
    </row>
    <row r="479" spans="1:11">
      <c r="A479" s="1" t="s">
        <v>503</v>
      </c>
      <c r="B479" s="2">
        <v>45840</v>
      </c>
      <c r="C479" s="1" t="s">
        <v>16</v>
      </c>
      <c r="D479" s="1" t="s">
        <v>29</v>
      </c>
      <c r="E479" s="1" t="s">
        <v>20</v>
      </c>
      <c r="F479" s="1">
        <v>291</v>
      </c>
      <c r="G479" s="1">
        <v>19.82</v>
      </c>
      <c r="H479" s="1">
        <v>5767.62</v>
      </c>
      <c r="I479" s="1">
        <v>4156.21</v>
      </c>
      <c r="J479" s="1">
        <v>1611.41</v>
      </c>
      <c r="K479" s="8" t="str">
        <f t="shared" si="7"/>
        <v>Jul</v>
      </c>
    </row>
    <row r="480" spans="1:11">
      <c r="A480" s="1" t="s">
        <v>504</v>
      </c>
      <c r="B480" s="2">
        <v>45788</v>
      </c>
      <c r="C480" s="1" t="s">
        <v>12</v>
      </c>
      <c r="D480" s="1" t="s">
        <v>17</v>
      </c>
      <c r="E480" s="1" t="s">
        <v>26</v>
      </c>
      <c r="F480" s="1">
        <v>191</v>
      </c>
      <c r="G480" s="1">
        <v>15.79</v>
      </c>
      <c r="H480" s="1">
        <v>3015.89</v>
      </c>
      <c r="I480" s="1">
        <v>2079.0100000000002</v>
      </c>
      <c r="J480" s="1">
        <v>936.88</v>
      </c>
      <c r="K480" s="8" t="str">
        <f t="shared" si="7"/>
        <v>May</v>
      </c>
    </row>
    <row r="481" spans="1:11">
      <c r="A481" s="1" t="s">
        <v>505</v>
      </c>
      <c r="B481" s="2">
        <v>45668</v>
      </c>
      <c r="C481" s="1" t="s">
        <v>22</v>
      </c>
      <c r="D481" s="1" t="s">
        <v>13</v>
      </c>
      <c r="E481" s="1" t="s">
        <v>23</v>
      </c>
      <c r="F481" s="1">
        <v>259</v>
      </c>
      <c r="G481" s="1">
        <v>13.31</v>
      </c>
      <c r="H481" s="1">
        <v>3447.29</v>
      </c>
      <c r="I481" s="1">
        <v>2620.42</v>
      </c>
      <c r="J481" s="1">
        <v>826.87</v>
      </c>
      <c r="K481" s="8" t="str">
        <f t="shared" si="7"/>
        <v>Jan</v>
      </c>
    </row>
    <row r="482" spans="1:11">
      <c r="A482" s="1" t="s">
        <v>506</v>
      </c>
      <c r="B482" s="2">
        <v>45806</v>
      </c>
      <c r="C482" s="1" t="s">
        <v>31</v>
      </c>
      <c r="D482" s="1" t="s">
        <v>29</v>
      </c>
      <c r="E482" s="1" t="s">
        <v>33</v>
      </c>
      <c r="F482" s="1">
        <v>204</v>
      </c>
      <c r="G482" s="1">
        <v>35.090000000000003</v>
      </c>
      <c r="H482" s="1">
        <v>7158.36</v>
      </c>
      <c r="I482" s="1">
        <v>5137.29</v>
      </c>
      <c r="J482" s="1">
        <v>2021.07</v>
      </c>
      <c r="K482" s="8" t="str">
        <f t="shared" si="7"/>
        <v>May</v>
      </c>
    </row>
    <row r="483" spans="1:11">
      <c r="A483" s="1" t="s">
        <v>507</v>
      </c>
      <c r="B483" s="2">
        <v>45795</v>
      </c>
      <c r="C483" s="1" t="s">
        <v>22</v>
      </c>
      <c r="D483" s="1" t="s">
        <v>17</v>
      </c>
      <c r="E483" s="1" t="s">
        <v>23</v>
      </c>
      <c r="F483" s="1">
        <v>237</v>
      </c>
      <c r="G483" s="1">
        <v>10.41</v>
      </c>
      <c r="H483" s="1">
        <v>2467.17</v>
      </c>
      <c r="I483" s="1">
        <v>1649.24</v>
      </c>
      <c r="J483" s="1">
        <v>817.93</v>
      </c>
      <c r="K483" s="8" t="str">
        <f t="shared" si="7"/>
        <v>May</v>
      </c>
    </row>
    <row r="484" spans="1:11">
      <c r="A484" s="1" t="s">
        <v>508</v>
      </c>
      <c r="B484" s="2">
        <v>45905</v>
      </c>
      <c r="C484" s="1" t="s">
        <v>22</v>
      </c>
      <c r="D484" s="1" t="s">
        <v>29</v>
      </c>
      <c r="E484" s="1" t="s">
        <v>33</v>
      </c>
      <c r="F484" s="1">
        <v>26</v>
      </c>
      <c r="G484" s="1">
        <v>34.01</v>
      </c>
      <c r="H484" s="1">
        <v>884.26</v>
      </c>
      <c r="I484" s="1">
        <v>536.83000000000004</v>
      </c>
      <c r="J484" s="1">
        <v>347.43</v>
      </c>
      <c r="K484" s="8" t="str">
        <f t="shared" si="7"/>
        <v>Sep</v>
      </c>
    </row>
    <row r="485" spans="1:11">
      <c r="A485" s="1" t="s">
        <v>509</v>
      </c>
      <c r="B485" s="2">
        <v>46005</v>
      </c>
      <c r="C485" s="1" t="s">
        <v>36</v>
      </c>
      <c r="D485" s="1" t="s">
        <v>17</v>
      </c>
      <c r="E485" s="1" t="s">
        <v>18</v>
      </c>
      <c r="F485" s="1">
        <v>210</v>
      </c>
      <c r="G485" s="1">
        <v>35.29</v>
      </c>
      <c r="H485" s="1">
        <v>7410.9</v>
      </c>
      <c r="I485" s="1">
        <v>5880.59</v>
      </c>
      <c r="J485" s="1">
        <v>1530.31</v>
      </c>
      <c r="K485" s="8" t="str">
        <f t="shared" si="7"/>
        <v>Dec</v>
      </c>
    </row>
    <row r="486" spans="1:11">
      <c r="A486" s="1" t="s">
        <v>510</v>
      </c>
      <c r="B486" s="2">
        <v>45775</v>
      </c>
      <c r="C486" s="1" t="s">
        <v>22</v>
      </c>
      <c r="D486" s="1" t="s">
        <v>17</v>
      </c>
      <c r="E486" s="1" t="s">
        <v>20</v>
      </c>
      <c r="F486" s="1">
        <v>274</v>
      </c>
      <c r="G486" s="1">
        <v>12.28</v>
      </c>
      <c r="H486" s="1">
        <v>3364.72</v>
      </c>
      <c r="I486" s="1">
        <v>2240.41</v>
      </c>
      <c r="J486" s="1">
        <v>1124.31</v>
      </c>
      <c r="K486" s="8" t="str">
        <f t="shared" si="7"/>
        <v>Apr</v>
      </c>
    </row>
    <row r="487" spans="1:11">
      <c r="A487" s="1" t="s">
        <v>511</v>
      </c>
      <c r="B487" s="2">
        <v>45959</v>
      </c>
      <c r="C487" s="1" t="s">
        <v>36</v>
      </c>
      <c r="D487" s="1" t="s">
        <v>17</v>
      </c>
      <c r="E487" s="1" t="s">
        <v>14</v>
      </c>
      <c r="F487" s="1">
        <v>32</v>
      </c>
      <c r="G487" s="1">
        <v>16.34</v>
      </c>
      <c r="H487" s="1">
        <v>522.88</v>
      </c>
      <c r="I487" s="1">
        <v>399.39</v>
      </c>
      <c r="J487" s="1">
        <v>123.49</v>
      </c>
      <c r="K487" s="8" t="str">
        <f t="shared" si="7"/>
        <v>Oct</v>
      </c>
    </row>
    <row r="488" spans="1:11">
      <c r="A488" s="1" t="s">
        <v>512</v>
      </c>
      <c r="B488" s="2">
        <v>45953</v>
      </c>
      <c r="C488" s="1" t="s">
        <v>16</v>
      </c>
      <c r="D488" s="1" t="s">
        <v>17</v>
      </c>
      <c r="E488" s="1" t="s">
        <v>23</v>
      </c>
      <c r="F488" s="1">
        <v>249</v>
      </c>
      <c r="G488" s="1">
        <v>21.64</v>
      </c>
      <c r="H488" s="1">
        <v>5388.36</v>
      </c>
      <c r="I488" s="1">
        <v>3614.17</v>
      </c>
      <c r="J488" s="1">
        <v>1774.19</v>
      </c>
      <c r="K488" s="8" t="str">
        <f t="shared" si="7"/>
        <v>Oct</v>
      </c>
    </row>
    <row r="489" spans="1:11">
      <c r="A489" s="1" t="s">
        <v>513</v>
      </c>
      <c r="B489" s="2">
        <v>45905</v>
      </c>
      <c r="C489" s="1" t="s">
        <v>12</v>
      </c>
      <c r="D489" s="1" t="s">
        <v>13</v>
      </c>
      <c r="E489" s="1" t="s">
        <v>33</v>
      </c>
      <c r="F489" s="1">
        <v>180</v>
      </c>
      <c r="G489" s="1">
        <v>16.8</v>
      </c>
      <c r="H489" s="1">
        <v>3024</v>
      </c>
      <c r="I489" s="1">
        <v>1964.84</v>
      </c>
      <c r="J489" s="1">
        <v>1059.1600000000001</v>
      </c>
      <c r="K489" s="8" t="str">
        <f t="shared" si="7"/>
        <v>Sep</v>
      </c>
    </row>
    <row r="490" spans="1:11">
      <c r="A490" s="1" t="s">
        <v>514</v>
      </c>
      <c r="B490" s="2">
        <v>45732</v>
      </c>
      <c r="C490" s="1" t="s">
        <v>12</v>
      </c>
      <c r="D490" s="1" t="s">
        <v>17</v>
      </c>
      <c r="E490" s="1" t="s">
        <v>14</v>
      </c>
      <c r="F490" s="1">
        <v>83</v>
      </c>
      <c r="G490" s="1">
        <v>18.18</v>
      </c>
      <c r="H490" s="1">
        <v>1508.94</v>
      </c>
      <c r="I490" s="1">
        <v>987.85</v>
      </c>
      <c r="J490" s="1">
        <v>521.09</v>
      </c>
      <c r="K490" s="8" t="str">
        <f t="shared" si="7"/>
        <v>Mar</v>
      </c>
    </row>
    <row r="491" spans="1:11">
      <c r="A491" s="1" t="s">
        <v>515</v>
      </c>
      <c r="B491" s="2">
        <v>45949</v>
      </c>
      <c r="C491" s="1" t="s">
        <v>36</v>
      </c>
      <c r="D491" s="1" t="s">
        <v>13</v>
      </c>
      <c r="E491" s="1" t="s">
        <v>23</v>
      </c>
      <c r="F491" s="1">
        <v>280</v>
      </c>
      <c r="G491" s="1">
        <v>27.53</v>
      </c>
      <c r="H491" s="1">
        <v>7708.4</v>
      </c>
      <c r="I491" s="1">
        <v>4839.4799999999996</v>
      </c>
      <c r="J491" s="1">
        <v>2868.92</v>
      </c>
      <c r="K491" s="8" t="str">
        <f t="shared" si="7"/>
        <v>Oct</v>
      </c>
    </row>
    <row r="492" spans="1:11">
      <c r="A492" s="1" t="s">
        <v>516</v>
      </c>
      <c r="B492" s="2">
        <v>45706</v>
      </c>
      <c r="C492" s="1" t="s">
        <v>36</v>
      </c>
      <c r="D492" s="1" t="s">
        <v>13</v>
      </c>
      <c r="E492" s="1" t="s">
        <v>14</v>
      </c>
      <c r="F492" s="1">
        <v>112</v>
      </c>
      <c r="G492" s="1">
        <v>33.229999999999997</v>
      </c>
      <c r="H492" s="1">
        <v>3721.76</v>
      </c>
      <c r="I492" s="1">
        <v>2704.31</v>
      </c>
      <c r="J492" s="1">
        <v>1017.45</v>
      </c>
      <c r="K492" s="8" t="str">
        <f t="shared" si="7"/>
        <v>Feb</v>
      </c>
    </row>
    <row r="493" spans="1:11">
      <c r="A493" s="1" t="s">
        <v>517</v>
      </c>
      <c r="B493" s="2">
        <v>45802</v>
      </c>
      <c r="C493" s="1" t="s">
        <v>36</v>
      </c>
      <c r="D493" s="1" t="s">
        <v>13</v>
      </c>
      <c r="E493" s="1" t="s">
        <v>14</v>
      </c>
      <c r="F493" s="1">
        <v>131</v>
      </c>
      <c r="G493" s="1">
        <v>36.18</v>
      </c>
      <c r="H493" s="1">
        <v>4739.58</v>
      </c>
      <c r="I493" s="1">
        <v>3733.5</v>
      </c>
      <c r="J493" s="1">
        <v>1006.08</v>
      </c>
      <c r="K493" s="8" t="str">
        <f t="shared" si="7"/>
        <v>May</v>
      </c>
    </row>
    <row r="494" spans="1:11">
      <c r="A494" s="1" t="s">
        <v>518</v>
      </c>
      <c r="B494" s="2">
        <v>45832</v>
      </c>
      <c r="C494" s="1" t="s">
        <v>31</v>
      </c>
      <c r="D494" s="1" t="s">
        <v>29</v>
      </c>
      <c r="E494" s="1" t="s">
        <v>33</v>
      </c>
      <c r="F494" s="1">
        <v>195</v>
      </c>
      <c r="G494" s="1">
        <v>25.27</v>
      </c>
      <c r="H494" s="1">
        <v>4927.6499999999996</v>
      </c>
      <c r="I494" s="1">
        <v>3582.61</v>
      </c>
      <c r="J494" s="1">
        <v>1345.04</v>
      </c>
      <c r="K494" s="8" t="str">
        <f t="shared" si="7"/>
        <v>Jun</v>
      </c>
    </row>
    <row r="495" spans="1:11">
      <c r="A495" s="1" t="s">
        <v>519</v>
      </c>
      <c r="B495" s="2">
        <v>45865</v>
      </c>
      <c r="C495" s="1" t="s">
        <v>31</v>
      </c>
      <c r="D495" s="1" t="s">
        <v>17</v>
      </c>
      <c r="E495" s="1" t="s">
        <v>23</v>
      </c>
      <c r="F495" s="1">
        <v>181</v>
      </c>
      <c r="G495" s="1">
        <v>11.81</v>
      </c>
      <c r="H495" s="1">
        <v>2137.61</v>
      </c>
      <c r="I495" s="1">
        <v>1426.73</v>
      </c>
      <c r="J495" s="1">
        <v>710.88</v>
      </c>
      <c r="K495" s="8" t="str">
        <f t="shared" si="7"/>
        <v>Jul</v>
      </c>
    </row>
    <row r="496" spans="1:11">
      <c r="A496" s="1" t="s">
        <v>520</v>
      </c>
      <c r="B496" s="2">
        <v>45846</v>
      </c>
      <c r="C496" s="1" t="s">
        <v>22</v>
      </c>
      <c r="D496" s="1" t="s">
        <v>13</v>
      </c>
      <c r="E496" s="1" t="s">
        <v>20</v>
      </c>
      <c r="F496" s="1">
        <v>134</v>
      </c>
      <c r="G496" s="1">
        <v>34.28</v>
      </c>
      <c r="H496" s="1">
        <v>4593.5200000000004</v>
      </c>
      <c r="I496" s="1">
        <v>3671.72</v>
      </c>
      <c r="J496" s="1">
        <v>921.8</v>
      </c>
      <c r="K496" s="8" t="str">
        <f t="shared" si="7"/>
        <v>Jul</v>
      </c>
    </row>
    <row r="497" spans="1:11">
      <c r="A497" s="1" t="s">
        <v>521</v>
      </c>
      <c r="B497" s="2">
        <v>45661</v>
      </c>
      <c r="C497" s="1" t="s">
        <v>31</v>
      </c>
      <c r="D497" s="1" t="s">
        <v>13</v>
      </c>
      <c r="E497" s="1" t="s">
        <v>23</v>
      </c>
      <c r="F497" s="1">
        <v>242</v>
      </c>
      <c r="G497" s="1">
        <v>22.15</v>
      </c>
      <c r="H497" s="1">
        <v>5360.3</v>
      </c>
      <c r="I497" s="1">
        <v>3640.8</v>
      </c>
      <c r="J497" s="1">
        <v>1719.5</v>
      </c>
      <c r="K497" s="8" t="str">
        <f t="shared" si="7"/>
        <v>Jan</v>
      </c>
    </row>
    <row r="498" spans="1:11">
      <c r="A498" s="1" t="s">
        <v>522</v>
      </c>
      <c r="B498" s="2">
        <v>45691</v>
      </c>
      <c r="C498" s="1" t="s">
        <v>36</v>
      </c>
      <c r="D498" s="1" t="s">
        <v>29</v>
      </c>
      <c r="E498" s="1" t="s">
        <v>23</v>
      </c>
      <c r="F498" s="1">
        <v>83</v>
      </c>
      <c r="G498" s="1">
        <v>19.04</v>
      </c>
      <c r="H498" s="1">
        <v>1580.32</v>
      </c>
      <c r="I498" s="1">
        <v>1045.7</v>
      </c>
      <c r="J498" s="1">
        <v>534.62</v>
      </c>
      <c r="K498" s="8" t="str">
        <f t="shared" si="7"/>
        <v>Feb</v>
      </c>
    </row>
    <row r="499" spans="1:11">
      <c r="A499" s="1" t="s">
        <v>523</v>
      </c>
      <c r="B499" s="2">
        <v>45995</v>
      </c>
      <c r="C499" s="1" t="s">
        <v>16</v>
      </c>
      <c r="D499" s="1" t="s">
        <v>29</v>
      </c>
      <c r="E499" s="1" t="s">
        <v>20</v>
      </c>
      <c r="F499" s="1">
        <v>184</v>
      </c>
      <c r="G499" s="1">
        <v>12.21</v>
      </c>
      <c r="H499" s="1">
        <v>2246.64</v>
      </c>
      <c r="I499" s="1">
        <v>1433.46</v>
      </c>
      <c r="J499" s="1">
        <v>813.18</v>
      </c>
      <c r="K499" s="8" t="str">
        <f t="shared" si="7"/>
        <v>Dec</v>
      </c>
    </row>
    <row r="500" spans="1:11">
      <c r="A500" s="1" t="s">
        <v>524</v>
      </c>
      <c r="B500" s="2">
        <v>45813</v>
      </c>
      <c r="C500" s="1" t="s">
        <v>36</v>
      </c>
      <c r="D500" s="1" t="s">
        <v>17</v>
      </c>
      <c r="E500" s="1" t="s">
        <v>33</v>
      </c>
      <c r="F500" s="1">
        <v>190</v>
      </c>
      <c r="G500" s="1">
        <v>39.619999999999997</v>
      </c>
      <c r="H500" s="1">
        <v>7527.8</v>
      </c>
      <c r="I500" s="1">
        <v>5054.13</v>
      </c>
      <c r="J500" s="1">
        <v>2473.67</v>
      </c>
      <c r="K500" s="8" t="str">
        <f t="shared" si="7"/>
        <v>Jun</v>
      </c>
    </row>
    <row r="501" spans="1:11">
      <c r="A501" s="1" t="s">
        <v>525</v>
      </c>
      <c r="B501" s="2">
        <v>45692</v>
      </c>
      <c r="C501" s="1" t="s">
        <v>31</v>
      </c>
      <c r="D501" s="1" t="s">
        <v>29</v>
      </c>
      <c r="E501" s="1" t="s">
        <v>26</v>
      </c>
      <c r="F501" s="1">
        <v>258</v>
      </c>
      <c r="G501" s="1">
        <v>19.579999999999998</v>
      </c>
      <c r="H501" s="1">
        <v>5051.6400000000003</v>
      </c>
      <c r="I501" s="1">
        <v>3208.03</v>
      </c>
      <c r="J501" s="1">
        <v>1843.61</v>
      </c>
      <c r="K501" s="8" t="str">
        <f t="shared" si="7"/>
        <v>Feb</v>
      </c>
    </row>
    <row r="502" spans="1:11">
      <c r="A502" s="1" t="s">
        <v>526</v>
      </c>
      <c r="B502" s="2">
        <v>45742</v>
      </c>
      <c r="C502" s="1" t="s">
        <v>16</v>
      </c>
      <c r="D502" s="1" t="s">
        <v>17</v>
      </c>
      <c r="E502" s="1" t="s">
        <v>18</v>
      </c>
      <c r="F502" s="1">
        <v>147</v>
      </c>
      <c r="G502" s="1">
        <v>17.11</v>
      </c>
      <c r="H502" s="1">
        <v>2515.17</v>
      </c>
      <c r="I502" s="1">
        <v>1519.2</v>
      </c>
      <c r="J502" s="1">
        <v>995.97</v>
      </c>
      <c r="K502" s="8" t="str">
        <f t="shared" si="7"/>
        <v>Mar</v>
      </c>
    </row>
    <row r="503" spans="1:11">
      <c r="A503" s="1" t="s">
        <v>527</v>
      </c>
      <c r="B503" s="2">
        <v>45760</v>
      </c>
      <c r="C503" s="1" t="s">
        <v>22</v>
      </c>
      <c r="D503" s="1" t="s">
        <v>13</v>
      </c>
      <c r="E503" s="1" t="s">
        <v>33</v>
      </c>
      <c r="F503" s="1">
        <v>154</v>
      </c>
      <c r="G503" s="1">
        <v>35.92</v>
      </c>
      <c r="H503" s="1">
        <v>5531.68</v>
      </c>
      <c r="I503" s="1">
        <v>4036.02</v>
      </c>
      <c r="J503" s="1">
        <v>1495.66</v>
      </c>
      <c r="K503" s="8" t="str">
        <f t="shared" si="7"/>
        <v>Apr</v>
      </c>
    </row>
    <row r="504" spans="1:11">
      <c r="A504" s="1" t="s">
        <v>528</v>
      </c>
      <c r="B504" s="2">
        <v>45687</v>
      </c>
      <c r="C504" s="1" t="s">
        <v>12</v>
      </c>
      <c r="D504" s="1" t="s">
        <v>17</v>
      </c>
      <c r="E504" s="1" t="s">
        <v>33</v>
      </c>
      <c r="F504" s="1">
        <v>76</v>
      </c>
      <c r="G504" s="1">
        <v>28.03</v>
      </c>
      <c r="H504" s="1">
        <v>2130.2800000000002</v>
      </c>
      <c r="I504" s="1">
        <v>1311.96</v>
      </c>
      <c r="J504" s="1">
        <v>818.32</v>
      </c>
      <c r="K504" s="8" t="str">
        <f t="shared" si="7"/>
        <v>Jan</v>
      </c>
    </row>
    <row r="505" spans="1:11">
      <c r="A505" s="1" t="s">
        <v>529</v>
      </c>
      <c r="B505" s="2">
        <v>45727</v>
      </c>
      <c r="C505" s="1" t="s">
        <v>16</v>
      </c>
      <c r="D505" s="1" t="s">
        <v>29</v>
      </c>
      <c r="E505" s="1" t="s">
        <v>14</v>
      </c>
      <c r="F505" s="1">
        <v>12</v>
      </c>
      <c r="G505" s="1">
        <v>15.65</v>
      </c>
      <c r="H505" s="1">
        <v>187.8</v>
      </c>
      <c r="I505" s="1">
        <v>132.85</v>
      </c>
      <c r="J505" s="1">
        <v>54.95</v>
      </c>
      <c r="K505" s="8" t="str">
        <f t="shared" si="7"/>
        <v>Mar</v>
      </c>
    </row>
    <row r="506" spans="1:11">
      <c r="A506" s="1" t="s">
        <v>530</v>
      </c>
      <c r="B506" s="2">
        <v>45672</v>
      </c>
      <c r="C506" s="1" t="s">
        <v>16</v>
      </c>
      <c r="D506" s="1" t="s">
        <v>29</v>
      </c>
      <c r="E506" s="1" t="s">
        <v>18</v>
      </c>
      <c r="F506" s="1">
        <v>118</v>
      </c>
      <c r="G506" s="1">
        <v>19.649999999999999</v>
      </c>
      <c r="H506" s="1">
        <v>2318.6999999999998</v>
      </c>
      <c r="I506" s="1">
        <v>1793.62</v>
      </c>
      <c r="J506" s="1">
        <v>525.08000000000004</v>
      </c>
      <c r="K506" s="8" t="str">
        <f t="shared" si="7"/>
        <v>Jan</v>
      </c>
    </row>
    <row r="507" spans="1:11">
      <c r="A507" s="1" t="s">
        <v>531</v>
      </c>
      <c r="B507" s="2">
        <v>45865</v>
      </c>
      <c r="C507" s="1" t="s">
        <v>16</v>
      </c>
      <c r="D507" s="1" t="s">
        <v>13</v>
      </c>
      <c r="E507" s="1" t="s">
        <v>33</v>
      </c>
      <c r="F507" s="1">
        <v>182</v>
      </c>
      <c r="G507" s="1">
        <v>15.24</v>
      </c>
      <c r="H507" s="1">
        <v>2773.68</v>
      </c>
      <c r="I507" s="1">
        <v>2143.11</v>
      </c>
      <c r="J507" s="1">
        <v>630.57000000000005</v>
      </c>
      <c r="K507" s="8" t="str">
        <f t="shared" si="7"/>
        <v>Jul</v>
      </c>
    </row>
    <row r="508" spans="1:11">
      <c r="A508" s="1" t="s">
        <v>532</v>
      </c>
      <c r="B508" s="2">
        <v>45971</v>
      </c>
      <c r="C508" s="1" t="s">
        <v>28</v>
      </c>
      <c r="D508" s="1" t="s">
        <v>17</v>
      </c>
      <c r="E508" s="1" t="s">
        <v>18</v>
      </c>
      <c r="F508" s="1">
        <v>181</v>
      </c>
      <c r="G508" s="1">
        <v>33.28</v>
      </c>
      <c r="H508" s="1">
        <v>6023.68</v>
      </c>
      <c r="I508" s="1">
        <v>4804.28</v>
      </c>
      <c r="J508" s="1">
        <v>1219.4000000000001</v>
      </c>
      <c r="K508" s="8" t="str">
        <f t="shared" si="7"/>
        <v>Nov</v>
      </c>
    </row>
    <row r="509" spans="1:11">
      <c r="A509" s="1" t="s">
        <v>533</v>
      </c>
      <c r="B509" s="2">
        <v>45664</v>
      </c>
      <c r="C509" s="1" t="s">
        <v>31</v>
      </c>
      <c r="D509" s="1" t="s">
        <v>13</v>
      </c>
      <c r="E509" s="1" t="s">
        <v>18</v>
      </c>
      <c r="F509" s="1">
        <v>23</v>
      </c>
      <c r="G509" s="1">
        <v>37.76</v>
      </c>
      <c r="H509" s="1">
        <v>868.48</v>
      </c>
      <c r="I509" s="1">
        <v>619.08000000000004</v>
      </c>
      <c r="J509" s="1">
        <v>249.4</v>
      </c>
      <c r="K509" s="8" t="str">
        <f t="shared" si="7"/>
        <v>Jan</v>
      </c>
    </row>
    <row r="510" spans="1:11">
      <c r="A510" s="1" t="s">
        <v>534</v>
      </c>
      <c r="B510" s="2">
        <v>45972</v>
      </c>
      <c r="C510" s="1" t="s">
        <v>22</v>
      </c>
      <c r="D510" s="1" t="s">
        <v>13</v>
      </c>
      <c r="E510" s="1" t="s">
        <v>23</v>
      </c>
      <c r="F510" s="1">
        <v>178</v>
      </c>
      <c r="G510" s="1">
        <v>14.7</v>
      </c>
      <c r="H510" s="1">
        <v>2616.6</v>
      </c>
      <c r="I510" s="1">
        <v>1579.69</v>
      </c>
      <c r="J510" s="1">
        <v>1036.9100000000001</v>
      </c>
      <c r="K510" s="8" t="str">
        <f t="shared" si="7"/>
        <v>Nov</v>
      </c>
    </row>
    <row r="511" spans="1:11">
      <c r="A511" s="1" t="s">
        <v>535</v>
      </c>
      <c r="B511" s="2">
        <v>45704</v>
      </c>
      <c r="C511" s="1" t="s">
        <v>12</v>
      </c>
      <c r="D511" s="1" t="s">
        <v>29</v>
      </c>
      <c r="E511" s="1" t="s">
        <v>23</v>
      </c>
      <c r="F511" s="1">
        <v>193</v>
      </c>
      <c r="G511" s="1">
        <v>34.42</v>
      </c>
      <c r="H511" s="1">
        <v>6643.06</v>
      </c>
      <c r="I511" s="1">
        <v>4548.1499999999996</v>
      </c>
      <c r="J511" s="1">
        <v>2094.91</v>
      </c>
      <c r="K511" s="8" t="str">
        <f t="shared" si="7"/>
        <v>Feb</v>
      </c>
    </row>
    <row r="512" spans="1:11">
      <c r="A512" s="1" t="s">
        <v>536</v>
      </c>
      <c r="B512" s="2">
        <v>45942</v>
      </c>
      <c r="C512" s="1" t="s">
        <v>31</v>
      </c>
      <c r="D512" s="1" t="s">
        <v>13</v>
      </c>
      <c r="E512" s="1" t="s">
        <v>33</v>
      </c>
      <c r="F512" s="1">
        <v>88</v>
      </c>
      <c r="G512" s="1">
        <v>29.72</v>
      </c>
      <c r="H512" s="1">
        <v>2615.36</v>
      </c>
      <c r="I512" s="1">
        <v>1883.88</v>
      </c>
      <c r="J512" s="1">
        <v>731.48</v>
      </c>
      <c r="K512" s="8" t="str">
        <f t="shared" si="7"/>
        <v>Oct</v>
      </c>
    </row>
    <row r="513" spans="1:11">
      <c r="A513" s="1" t="s">
        <v>537</v>
      </c>
      <c r="B513" s="2">
        <v>45974</v>
      </c>
      <c r="C513" s="1" t="s">
        <v>16</v>
      </c>
      <c r="D513" s="1" t="s">
        <v>29</v>
      </c>
      <c r="E513" s="1" t="s">
        <v>14</v>
      </c>
      <c r="F513" s="1">
        <v>142</v>
      </c>
      <c r="G513" s="1">
        <v>34.4</v>
      </c>
      <c r="H513" s="1">
        <v>4884.8</v>
      </c>
      <c r="I513" s="1">
        <v>3397.44</v>
      </c>
      <c r="J513" s="1">
        <v>1487.36</v>
      </c>
      <c r="K513" s="8" t="str">
        <f t="shared" si="7"/>
        <v>Nov</v>
      </c>
    </row>
    <row r="514" spans="1:11">
      <c r="A514" s="1" t="s">
        <v>538</v>
      </c>
      <c r="B514" s="2">
        <v>45991</v>
      </c>
      <c r="C514" s="1" t="s">
        <v>31</v>
      </c>
      <c r="D514" s="1" t="s">
        <v>17</v>
      </c>
      <c r="E514" s="1" t="s">
        <v>23</v>
      </c>
      <c r="F514" s="1">
        <v>291</v>
      </c>
      <c r="G514" s="1">
        <v>39.32</v>
      </c>
      <c r="H514" s="1">
        <v>11442.12</v>
      </c>
      <c r="I514" s="1">
        <v>7902.3</v>
      </c>
      <c r="J514" s="1">
        <v>3539.82</v>
      </c>
      <c r="K514" s="8" t="str">
        <f t="shared" ref="K514:K577" si="8">TEXT(B514,"mmm")</f>
        <v>Nov</v>
      </c>
    </row>
    <row r="515" spans="1:11">
      <c r="A515" s="1" t="s">
        <v>539</v>
      </c>
      <c r="B515" s="2">
        <v>45929</v>
      </c>
      <c r="C515" s="1" t="s">
        <v>28</v>
      </c>
      <c r="D515" s="1" t="s">
        <v>13</v>
      </c>
      <c r="E515" s="1" t="s">
        <v>33</v>
      </c>
      <c r="F515" s="1">
        <v>150</v>
      </c>
      <c r="G515" s="1">
        <v>13.96</v>
      </c>
      <c r="H515" s="1">
        <v>2094</v>
      </c>
      <c r="I515" s="1">
        <v>1260.19</v>
      </c>
      <c r="J515" s="1">
        <v>833.81</v>
      </c>
      <c r="K515" s="8" t="str">
        <f t="shared" si="8"/>
        <v>Sep</v>
      </c>
    </row>
    <row r="516" spans="1:11">
      <c r="A516" s="1" t="s">
        <v>540</v>
      </c>
      <c r="B516" s="2">
        <v>45843</v>
      </c>
      <c r="C516" s="1" t="s">
        <v>16</v>
      </c>
      <c r="D516" s="1" t="s">
        <v>13</v>
      </c>
      <c r="E516" s="1" t="s">
        <v>23</v>
      </c>
      <c r="F516" s="1">
        <v>87</v>
      </c>
      <c r="G516" s="1">
        <v>39.69</v>
      </c>
      <c r="H516" s="1">
        <v>3453.03</v>
      </c>
      <c r="I516" s="1">
        <v>2229.39</v>
      </c>
      <c r="J516" s="1">
        <v>1223.6400000000001</v>
      </c>
      <c r="K516" s="8" t="str">
        <f t="shared" si="8"/>
        <v>Jul</v>
      </c>
    </row>
    <row r="517" spans="1:11">
      <c r="A517" s="1" t="s">
        <v>541</v>
      </c>
      <c r="B517" s="2">
        <v>45726</v>
      </c>
      <c r="C517" s="1" t="s">
        <v>12</v>
      </c>
      <c r="D517" s="1" t="s">
        <v>13</v>
      </c>
      <c r="E517" s="1" t="s">
        <v>14</v>
      </c>
      <c r="F517" s="1">
        <v>72</v>
      </c>
      <c r="G517" s="1">
        <v>11.8</v>
      </c>
      <c r="H517" s="1">
        <v>849.6</v>
      </c>
      <c r="I517" s="1">
        <v>595.03</v>
      </c>
      <c r="J517" s="1">
        <v>254.57</v>
      </c>
      <c r="K517" s="8" t="str">
        <f t="shared" si="8"/>
        <v>Mar</v>
      </c>
    </row>
    <row r="518" spans="1:11">
      <c r="A518" s="1" t="s">
        <v>542</v>
      </c>
      <c r="B518" s="2">
        <v>45968</v>
      </c>
      <c r="C518" s="1" t="s">
        <v>36</v>
      </c>
      <c r="D518" s="1" t="s">
        <v>13</v>
      </c>
      <c r="E518" s="1" t="s">
        <v>23</v>
      </c>
      <c r="F518" s="1">
        <v>197</v>
      </c>
      <c r="G518" s="1">
        <v>32.130000000000003</v>
      </c>
      <c r="H518" s="1">
        <v>6329.61</v>
      </c>
      <c r="I518" s="1">
        <v>4940.71</v>
      </c>
      <c r="J518" s="1">
        <v>1388.9</v>
      </c>
      <c r="K518" s="8" t="str">
        <f t="shared" si="8"/>
        <v>Nov</v>
      </c>
    </row>
    <row r="519" spans="1:11">
      <c r="A519" s="1" t="s">
        <v>543</v>
      </c>
      <c r="B519" s="2">
        <v>45672</v>
      </c>
      <c r="C519" s="1" t="s">
        <v>28</v>
      </c>
      <c r="D519" s="1" t="s">
        <v>13</v>
      </c>
      <c r="E519" s="1" t="s">
        <v>33</v>
      </c>
      <c r="F519" s="1">
        <v>189</v>
      </c>
      <c r="G519" s="1">
        <v>33.340000000000003</v>
      </c>
      <c r="H519" s="1">
        <v>6301.26</v>
      </c>
      <c r="I519" s="1">
        <v>4086.47</v>
      </c>
      <c r="J519" s="1">
        <v>2214.79</v>
      </c>
      <c r="K519" s="8" t="str">
        <f t="shared" si="8"/>
        <v>Jan</v>
      </c>
    </row>
    <row r="520" spans="1:11">
      <c r="A520" s="1" t="s">
        <v>544</v>
      </c>
      <c r="B520" s="2">
        <v>45834</v>
      </c>
      <c r="C520" s="1" t="s">
        <v>16</v>
      </c>
      <c r="D520" s="1" t="s">
        <v>13</v>
      </c>
      <c r="E520" s="1" t="s">
        <v>33</v>
      </c>
      <c r="F520" s="1">
        <v>209</v>
      </c>
      <c r="G520" s="1">
        <v>23.8</v>
      </c>
      <c r="H520" s="1">
        <v>4974.2</v>
      </c>
      <c r="I520" s="1">
        <v>3306.68</v>
      </c>
      <c r="J520" s="1">
        <v>1667.52</v>
      </c>
      <c r="K520" s="8" t="str">
        <f t="shared" si="8"/>
        <v>Jun</v>
      </c>
    </row>
    <row r="521" spans="1:11">
      <c r="A521" s="1" t="s">
        <v>545</v>
      </c>
      <c r="B521" s="2">
        <v>45665</v>
      </c>
      <c r="C521" s="1" t="s">
        <v>36</v>
      </c>
      <c r="D521" s="1" t="s">
        <v>17</v>
      </c>
      <c r="E521" s="1" t="s">
        <v>26</v>
      </c>
      <c r="F521" s="1">
        <v>43</v>
      </c>
      <c r="G521" s="1">
        <v>34.200000000000003</v>
      </c>
      <c r="H521" s="1">
        <v>1470.6</v>
      </c>
      <c r="I521" s="1">
        <v>1151.08</v>
      </c>
      <c r="J521" s="1">
        <v>319.52</v>
      </c>
      <c r="K521" s="8" t="str">
        <f t="shared" si="8"/>
        <v>Jan</v>
      </c>
    </row>
    <row r="522" spans="1:11">
      <c r="A522" s="1" t="s">
        <v>546</v>
      </c>
      <c r="B522" s="2">
        <v>45774</v>
      </c>
      <c r="C522" s="1" t="s">
        <v>28</v>
      </c>
      <c r="D522" s="1" t="s">
        <v>29</v>
      </c>
      <c r="E522" s="1" t="s">
        <v>33</v>
      </c>
      <c r="F522" s="1">
        <v>298</v>
      </c>
      <c r="G522" s="1">
        <v>21.28</v>
      </c>
      <c r="H522" s="1">
        <v>6341.44</v>
      </c>
      <c r="I522" s="1">
        <v>4955.2299999999996</v>
      </c>
      <c r="J522" s="1">
        <v>1386.21</v>
      </c>
      <c r="K522" s="8" t="str">
        <f t="shared" si="8"/>
        <v>Apr</v>
      </c>
    </row>
    <row r="523" spans="1:11">
      <c r="A523" s="1" t="s">
        <v>547</v>
      </c>
      <c r="B523" s="2">
        <v>45772</v>
      </c>
      <c r="C523" s="1" t="s">
        <v>28</v>
      </c>
      <c r="D523" s="1" t="s">
        <v>13</v>
      </c>
      <c r="E523" s="1" t="s">
        <v>20</v>
      </c>
      <c r="F523" s="1">
        <v>25</v>
      </c>
      <c r="G523" s="1">
        <v>17.559999999999999</v>
      </c>
      <c r="H523" s="1">
        <v>439</v>
      </c>
      <c r="I523" s="1">
        <v>286.43</v>
      </c>
      <c r="J523" s="1">
        <v>152.57</v>
      </c>
      <c r="K523" s="8" t="str">
        <f t="shared" si="8"/>
        <v>Apr</v>
      </c>
    </row>
    <row r="524" spans="1:11">
      <c r="A524" s="1" t="s">
        <v>548</v>
      </c>
      <c r="B524" s="2">
        <v>45839</v>
      </c>
      <c r="C524" s="1" t="s">
        <v>31</v>
      </c>
      <c r="D524" s="1" t="s">
        <v>17</v>
      </c>
      <c r="E524" s="1" t="s">
        <v>18</v>
      </c>
      <c r="F524" s="1">
        <v>114</v>
      </c>
      <c r="G524" s="1">
        <v>19.78</v>
      </c>
      <c r="H524" s="1">
        <v>2254.92</v>
      </c>
      <c r="I524" s="1">
        <v>1544.9</v>
      </c>
      <c r="J524" s="1">
        <v>710.02</v>
      </c>
      <c r="K524" s="8" t="str">
        <f t="shared" si="8"/>
        <v>Jul</v>
      </c>
    </row>
    <row r="525" spans="1:11">
      <c r="A525" s="1" t="s">
        <v>549</v>
      </c>
      <c r="B525" s="2">
        <v>45768</v>
      </c>
      <c r="C525" s="1" t="s">
        <v>31</v>
      </c>
      <c r="D525" s="1" t="s">
        <v>13</v>
      </c>
      <c r="E525" s="1" t="s">
        <v>14</v>
      </c>
      <c r="F525" s="1">
        <v>90</v>
      </c>
      <c r="G525" s="1">
        <v>24.32</v>
      </c>
      <c r="H525" s="1">
        <v>2188.8000000000002</v>
      </c>
      <c r="I525" s="1">
        <v>1722.1</v>
      </c>
      <c r="J525" s="1">
        <v>466.7</v>
      </c>
      <c r="K525" s="8" t="str">
        <f t="shared" si="8"/>
        <v>Apr</v>
      </c>
    </row>
    <row r="526" spans="1:11">
      <c r="A526" s="1" t="s">
        <v>550</v>
      </c>
      <c r="B526" s="2">
        <v>45802</v>
      </c>
      <c r="C526" s="1" t="s">
        <v>22</v>
      </c>
      <c r="D526" s="1" t="s">
        <v>13</v>
      </c>
      <c r="E526" s="1" t="s">
        <v>14</v>
      </c>
      <c r="F526" s="1">
        <v>55</v>
      </c>
      <c r="G526" s="1">
        <v>19.95</v>
      </c>
      <c r="H526" s="1">
        <v>1097.25</v>
      </c>
      <c r="I526" s="1">
        <v>764.9</v>
      </c>
      <c r="J526" s="1">
        <v>332.35</v>
      </c>
      <c r="K526" s="8" t="str">
        <f t="shared" si="8"/>
        <v>May</v>
      </c>
    </row>
    <row r="527" spans="1:11">
      <c r="A527" s="1" t="s">
        <v>551</v>
      </c>
      <c r="B527" s="2">
        <v>46007</v>
      </c>
      <c r="C527" s="1" t="s">
        <v>22</v>
      </c>
      <c r="D527" s="1" t="s">
        <v>29</v>
      </c>
      <c r="E527" s="1" t="s">
        <v>14</v>
      </c>
      <c r="F527" s="1">
        <v>241</v>
      </c>
      <c r="G527" s="1">
        <v>16.36</v>
      </c>
      <c r="H527" s="1">
        <v>3942.76</v>
      </c>
      <c r="I527" s="1">
        <v>2406.7600000000002</v>
      </c>
      <c r="J527" s="1">
        <v>1536</v>
      </c>
      <c r="K527" s="8" t="str">
        <f t="shared" si="8"/>
        <v>Dec</v>
      </c>
    </row>
    <row r="528" spans="1:11">
      <c r="A528" s="1" t="s">
        <v>552</v>
      </c>
      <c r="B528" s="2">
        <v>45681</v>
      </c>
      <c r="C528" s="1" t="s">
        <v>31</v>
      </c>
      <c r="D528" s="1" t="s">
        <v>29</v>
      </c>
      <c r="E528" s="1" t="s">
        <v>26</v>
      </c>
      <c r="F528" s="1">
        <v>234</v>
      </c>
      <c r="G528" s="1">
        <v>15.47</v>
      </c>
      <c r="H528" s="1">
        <v>3619.98</v>
      </c>
      <c r="I528" s="1">
        <v>2797.5</v>
      </c>
      <c r="J528" s="1">
        <v>822.48</v>
      </c>
      <c r="K528" s="8" t="str">
        <f t="shared" si="8"/>
        <v>Jan</v>
      </c>
    </row>
    <row r="529" spans="1:11">
      <c r="A529" s="1" t="s">
        <v>553</v>
      </c>
      <c r="B529" s="2">
        <v>45715</v>
      </c>
      <c r="C529" s="1" t="s">
        <v>31</v>
      </c>
      <c r="D529" s="1" t="s">
        <v>13</v>
      </c>
      <c r="E529" s="1" t="s">
        <v>23</v>
      </c>
      <c r="F529" s="1">
        <v>87</v>
      </c>
      <c r="G529" s="1">
        <v>39.229999999999997</v>
      </c>
      <c r="H529" s="1">
        <v>3413.01</v>
      </c>
      <c r="I529" s="1">
        <v>2054.2399999999998</v>
      </c>
      <c r="J529" s="1">
        <v>1358.77</v>
      </c>
      <c r="K529" s="8" t="str">
        <f t="shared" si="8"/>
        <v>Feb</v>
      </c>
    </row>
    <row r="530" spans="1:11">
      <c r="A530" s="1" t="s">
        <v>554</v>
      </c>
      <c r="B530" s="2">
        <v>45838</v>
      </c>
      <c r="C530" s="1" t="s">
        <v>28</v>
      </c>
      <c r="D530" s="1" t="s">
        <v>13</v>
      </c>
      <c r="E530" s="1" t="s">
        <v>18</v>
      </c>
      <c r="F530" s="1">
        <v>59</v>
      </c>
      <c r="G530" s="1">
        <v>32.54</v>
      </c>
      <c r="H530" s="1">
        <v>1919.86</v>
      </c>
      <c r="I530" s="1">
        <v>1330.26</v>
      </c>
      <c r="J530" s="1">
        <v>589.6</v>
      </c>
      <c r="K530" s="8" t="str">
        <f t="shared" si="8"/>
        <v>Jun</v>
      </c>
    </row>
    <row r="531" spans="1:11">
      <c r="A531" s="1" t="s">
        <v>555</v>
      </c>
      <c r="B531" s="2">
        <v>45831</v>
      </c>
      <c r="C531" s="1" t="s">
        <v>16</v>
      </c>
      <c r="D531" s="1" t="s">
        <v>29</v>
      </c>
      <c r="E531" s="1" t="s">
        <v>20</v>
      </c>
      <c r="F531" s="1">
        <v>213</v>
      </c>
      <c r="G531" s="1">
        <v>36.46</v>
      </c>
      <c r="H531" s="1">
        <v>7765.98</v>
      </c>
      <c r="I531" s="1">
        <v>6181.18</v>
      </c>
      <c r="J531" s="1">
        <v>1584.8</v>
      </c>
      <c r="K531" s="8" t="str">
        <f t="shared" si="8"/>
        <v>Jun</v>
      </c>
    </row>
    <row r="532" spans="1:11">
      <c r="A532" s="1" t="s">
        <v>556</v>
      </c>
      <c r="B532" s="2">
        <v>45761</v>
      </c>
      <c r="C532" s="1" t="s">
        <v>22</v>
      </c>
      <c r="D532" s="1" t="s">
        <v>29</v>
      </c>
      <c r="E532" s="1" t="s">
        <v>18</v>
      </c>
      <c r="F532" s="1">
        <v>17</v>
      </c>
      <c r="G532" s="1">
        <v>11.14</v>
      </c>
      <c r="H532" s="1">
        <v>189.38</v>
      </c>
      <c r="I532" s="1">
        <v>132.75</v>
      </c>
      <c r="J532" s="1">
        <v>56.63</v>
      </c>
      <c r="K532" s="8" t="str">
        <f t="shared" si="8"/>
        <v>Apr</v>
      </c>
    </row>
    <row r="533" spans="1:11">
      <c r="A533" s="1" t="s">
        <v>557</v>
      </c>
      <c r="B533" s="2">
        <v>46015</v>
      </c>
      <c r="C533" s="1" t="s">
        <v>31</v>
      </c>
      <c r="D533" s="1" t="s">
        <v>13</v>
      </c>
      <c r="E533" s="1" t="s">
        <v>26</v>
      </c>
      <c r="F533" s="1">
        <v>63</v>
      </c>
      <c r="G533" s="1">
        <v>31.86</v>
      </c>
      <c r="H533" s="1">
        <v>2007.18</v>
      </c>
      <c r="I533" s="1">
        <v>1223.7</v>
      </c>
      <c r="J533" s="1">
        <v>783.48</v>
      </c>
      <c r="K533" s="8" t="str">
        <f t="shared" si="8"/>
        <v>Dec</v>
      </c>
    </row>
    <row r="534" spans="1:11">
      <c r="A534" s="1" t="s">
        <v>558</v>
      </c>
      <c r="B534" s="2">
        <v>45719</v>
      </c>
      <c r="C534" s="1" t="s">
        <v>16</v>
      </c>
      <c r="D534" s="1" t="s">
        <v>13</v>
      </c>
      <c r="E534" s="1" t="s">
        <v>20</v>
      </c>
      <c r="F534" s="1">
        <v>259</v>
      </c>
      <c r="G534" s="1">
        <v>39.119999999999997</v>
      </c>
      <c r="H534" s="1">
        <v>10132.08</v>
      </c>
      <c r="I534" s="1">
        <v>7143.96</v>
      </c>
      <c r="J534" s="1">
        <v>2988.12</v>
      </c>
      <c r="K534" s="8" t="str">
        <f t="shared" si="8"/>
        <v>Mar</v>
      </c>
    </row>
    <row r="535" spans="1:11">
      <c r="A535" s="1" t="s">
        <v>559</v>
      </c>
      <c r="B535" s="2">
        <v>46008</v>
      </c>
      <c r="C535" s="1" t="s">
        <v>12</v>
      </c>
      <c r="D535" s="1" t="s">
        <v>13</v>
      </c>
      <c r="E535" s="1" t="s">
        <v>23</v>
      </c>
      <c r="F535" s="1">
        <v>286</v>
      </c>
      <c r="G535" s="1">
        <v>14.44</v>
      </c>
      <c r="H535" s="1">
        <v>4129.84</v>
      </c>
      <c r="I535" s="1">
        <v>3087.64</v>
      </c>
      <c r="J535" s="1">
        <v>1042.2</v>
      </c>
      <c r="K535" s="8" t="str">
        <f t="shared" si="8"/>
        <v>Dec</v>
      </c>
    </row>
    <row r="536" spans="1:11">
      <c r="A536" s="1" t="s">
        <v>560</v>
      </c>
      <c r="B536" s="2">
        <v>45839</v>
      </c>
      <c r="C536" s="1" t="s">
        <v>22</v>
      </c>
      <c r="D536" s="1" t="s">
        <v>13</v>
      </c>
      <c r="E536" s="1" t="s">
        <v>33</v>
      </c>
      <c r="F536" s="1">
        <v>264</v>
      </c>
      <c r="G536" s="1">
        <v>38.72</v>
      </c>
      <c r="H536" s="1">
        <v>10222.08</v>
      </c>
      <c r="I536" s="1">
        <v>6291.34</v>
      </c>
      <c r="J536" s="1">
        <v>3930.74</v>
      </c>
      <c r="K536" s="8" t="str">
        <f t="shared" si="8"/>
        <v>Jul</v>
      </c>
    </row>
    <row r="537" spans="1:11">
      <c r="A537" s="1" t="s">
        <v>561</v>
      </c>
      <c r="B537" s="2">
        <v>45695</v>
      </c>
      <c r="C537" s="1" t="s">
        <v>31</v>
      </c>
      <c r="D537" s="1" t="s">
        <v>13</v>
      </c>
      <c r="E537" s="1" t="s">
        <v>26</v>
      </c>
      <c r="F537" s="1">
        <v>149</v>
      </c>
      <c r="G537" s="1">
        <v>31.11</v>
      </c>
      <c r="H537" s="1">
        <v>4635.3900000000003</v>
      </c>
      <c r="I537" s="1">
        <v>2795.33</v>
      </c>
      <c r="J537" s="1">
        <v>1840.06</v>
      </c>
      <c r="K537" s="8" t="str">
        <f t="shared" si="8"/>
        <v>Feb</v>
      </c>
    </row>
    <row r="538" spans="1:11">
      <c r="A538" s="1" t="s">
        <v>562</v>
      </c>
      <c r="B538" s="2">
        <v>45758</v>
      </c>
      <c r="C538" s="1" t="s">
        <v>31</v>
      </c>
      <c r="D538" s="1" t="s">
        <v>17</v>
      </c>
      <c r="E538" s="1" t="s">
        <v>26</v>
      </c>
      <c r="F538" s="1">
        <v>270</v>
      </c>
      <c r="G538" s="1">
        <v>11.44</v>
      </c>
      <c r="H538" s="1">
        <v>3088.8</v>
      </c>
      <c r="I538" s="1">
        <v>2341.0100000000002</v>
      </c>
      <c r="J538" s="1">
        <v>747.79</v>
      </c>
      <c r="K538" s="8" t="str">
        <f t="shared" si="8"/>
        <v>Apr</v>
      </c>
    </row>
    <row r="539" spans="1:11">
      <c r="A539" s="1" t="s">
        <v>563</v>
      </c>
      <c r="B539" s="2">
        <v>45824</v>
      </c>
      <c r="C539" s="1" t="s">
        <v>12</v>
      </c>
      <c r="D539" s="1" t="s">
        <v>17</v>
      </c>
      <c r="E539" s="1" t="s">
        <v>33</v>
      </c>
      <c r="F539" s="1">
        <v>31</v>
      </c>
      <c r="G539" s="1">
        <v>29.59</v>
      </c>
      <c r="H539" s="1">
        <v>917.29</v>
      </c>
      <c r="I539" s="1">
        <v>650.16999999999996</v>
      </c>
      <c r="J539" s="1">
        <v>267.12</v>
      </c>
      <c r="K539" s="8" t="str">
        <f t="shared" si="8"/>
        <v>Jun</v>
      </c>
    </row>
    <row r="540" spans="1:11">
      <c r="A540" s="1" t="s">
        <v>564</v>
      </c>
      <c r="B540" s="2">
        <v>45868</v>
      </c>
      <c r="C540" s="1" t="s">
        <v>28</v>
      </c>
      <c r="D540" s="1" t="s">
        <v>17</v>
      </c>
      <c r="E540" s="1" t="s">
        <v>20</v>
      </c>
      <c r="F540" s="1">
        <v>147</v>
      </c>
      <c r="G540" s="1">
        <v>21.98</v>
      </c>
      <c r="H540" s="1">
        <v>3231.06</v>
      </c>
      <c r="I540" s="1">
        <v>2144.3000000000002</v>
      </c>
      <c r="J540" s="1">
        <v>1086.76</v>
      </c>
      <c r="K540" s="8" t="str">
        <f t="shared" si="8"/>
        <v>Jul</v>
      </c>
    </row>
    <row r="541" spans="1:11">
      <c r="A541" s="1" t="s">
        <v>565</v>
      </c>
      <c r="B541" s="2">
        <v>45856</v>
      </c>
      <c r="C541" s="1" t="s">
        <v>36</v>
      </c>
      <c r="D541" s="1" t="s">
        <v>13</v>
      </c>
      <c r="E541" s="1" t="s">
        <v>20</v>
      </c>
      <c r="F541" s="1">
        <v>207</v>
      </c>
      <c r="G541" s="1">
        <v>36.450000000000003</v>
      </c>
      <c r="H541" s="1">
        <v>7545.15</v>
      </c>
      <c r="I541" s="1">
        <v>5739.98</v>
      </c>
      <c r="J541" s="1">
        <v>1805.17</v>
      </c>
      <c r="K541" s="8" t="str">
        <f t="shared" si="8"/>
        <v>Jul</v>
      </c>
    </row>
    <row r="542" spans="1:11">
      <c r="A542" s="1" t="s">
        <v>566</v>
      </c>
      <c r="B542" s="2">
        <v>45969</v>
      </c>
      <c r="C542" s="1" t="s">
        <v>12</v>
      </c>
      <c r="D542" s="1" t="s">
        <v>29</v>
      </c>
      <c r="E542" s="1" t="s">
        <v>18</v>
      </c>
      <c r="F542" s="1">
        <v>266</v>
      </c>
      <c r="G542" s="1">
        <v>37.79</v>
      </c>
      <c r="H542" s="1">
        <v>10052.14</v>
      </c>
      <c r="I542" s="1">
        <v>6543.27</v>
      </c>
      <c r="J542" s="1">
        <v>3508.87</v>
      </c>
      <c r="K542" s="8" t="str">
        <f t="shared" si="8"/>
        <v>Nov</v>
      </c>
    </row>
    <row r="543" spans="1:11">
      <c r="A543" s="1" t="s">
        <v>567</v>
      </c>
      <c r="B543" s="2">
        <v>45781</v>
      </c>
      <c r="C543" s="1" t="s">
        <v>12</v>
      </c>
      <c r="D543" s="1" t="s">
        <v>13</v>
      </c>
      <c r="E543" s="1" t="s">
        <v>33</v>
      </c>
      <c r="F543" s="1">
        <v>111</v>
      </c>
      <c r="G543" s="1">
        <v>29.9</v>
      </c>
      <c r="H543" s="1">
        <v>3318.9</v>
      </c>
      <c r="I543" s="1">
        <v>2048.96</v>
      </c>
      <c r="J543" s="1">
        <v>1269.94</v>
      </c>
      <c r="K543" s="8" t="str">
        <f t="shared" si="8"/>
        <v>May</v>
      </c>
    </row>
    <row r="544" spans="1:11">
      <c r="A544" s="1" t="s">
        <v>568</v>
      </c>
      <c r="B544" s="2">
        <v>45683</v>
      </c>
      <c r="C544" s="1" t="s">
        <v>36</v>
      </c>
      <c r="D544" s="1" t="s">
        <v>17</v>
      </c>
      <c r="E544" s="1" t="s">
        <v>23</v>
      </c>
      <c r="F544" s="1">
        <v>217</v>
      </c>
      <c r="G544" s="1">
        <v>30.83</v>
      </c>
      <c r="H544" s="1">
        <v>6690.11</v>
      </c>
      <c r="I544" s="1">
        <v>4448.08</v>
      </c>
      <c r="J544" s="1">
        <v>2242.0300000000002</v>
      </c>
      <c r="K544" s="8" t="str">
        <f t="shared" si="8"/>
        <v>Jan</v>
      </c>
    </row>
    <row r="545" spans="1:11">
      <c r="A545" s="1" t="s">
        <v>569</v>
      </c>
      <c r="B545" s="2">
        <v>46000</v>
      </c>
      <c r="C545" s="1" t="s">
        <v>28</v>
      </c>
      <c r="D545" s="1" t="s">
        <v>29</v>
      </c>
      <c r="E545" s="1" t="s">
        <v>33</v>
      </c>
      <c r="F545" s="1">
        <v>171</v>
      </c>
      <c r="G545" s="1">
        <v>23.66</v>
      </c>
      <c r="H545" s="1">
        <v>4045.86</v>
      </c>
      <c r="I545" s="1">
        <v>2894.98</v>
      </c>
      <c r="J545" s="1">
        <v>1150.8800000000001</v>
      </c>
      <c r="K545" s="8" t="str">
        <f t="shared" si="8"/>
        <v>Dec</v>
      </c>
    </row>
    <row r="546" spans="1:11">
      <c r="A546" s="1" t="s">
        <v>570</v>
      </c>
      <c r="B546" s="2">
        <v>45898</v>
      </c>
      <c r="C546" s="1" t="s">
        <v>28</v>
      </c>
      <c r="D546" s="1" t="s">
        <v>13</v>
      </c>
      <c r="E546" s="1" t="s">
        <v>33</v>
      </c>
      <c r="F546" s="1">
        <v>271</v>
      </c>
      <c r="G546" s="1">
        <v>20.27</v>
      </c>
      <c r="H546" s="1">
        <v>5493.17</v>
      </c>
      <c r="I546" s="1">
        <v>3895.95</v>
      </c>
      <c r="J546" s="1">
        <v>1597.22</v>
      </c>
      <c r="K546" s="8" t="str">
        <f t="shared" si="8"/>
        <v>Aug</v>
      </c>
    </row>
    <row r="547" spans="1:11">
      <c r="A547" s="1" t="s">
        <v>571</v>
      </c>
      <c r="B547" s="2">
        <v>45851</v>
      </c>
      <c r="C547" s="1" t="s">
        <v>12</v>
      </c>
      <c r="D547" s="1" t="s">
        <v>17</v>
      </c>
      <c r="E547" s="1" t="s">
        <v>23</v>
      </c>
      <c r="F547" s="1">
        <v>191</v>
      </c>
      <c r="G547" s="1">
        <v>31.37</v>
      </c>
      <c r="H547" s="1">
        <v>5991.67</v>
      </c>
      <c r="I547" s="1">
        <v>4066.58</v>
      </c>
      <c r="J547" s="1">
        <v>1925.09</v>
      </c>
      <c r="K547" s="8" t="str">
        <f t="shared" si="8"/>
        <v>Jul</v>
      </c>
    </row>
    <row r="548" spans="1:11">
      <c r="A548" s="1" t="s">
        <v>572</v>
      </c>
      <c r="B548" s="2">
        <v>45995</v>
      </c>
      <c r="C548" s="1" t="s">
        <v>36</v>
      </c>
      <c r="D548" s="1" t="s">
        <v>13</v>
      </c>
      <c r="E548" s="1" t="s">
        <v>23</v>
      </c>
      <c r="F548" s="1">
        <v>174</v>
      </c>
      <c r="G548" s="1">
        <v>12.16</v>
      </c>
      <c r="H548" s="1">
        <v>2115.84</v>
      </c>
      <c r="I548" s="1">
        <v>1606.9</v>
      </c>
      <c r="J548" s="1">
        <v>508.94</v>
      </c>
      <c r="K548" s="8" t="str">
        <f t="shared" si="8"/>
        <v>Dec</v>
      </c>
    </row>
    <row r="549" spans="1:11">
      <c r="A549" s="1" t="s">
        <v>573</v>
      </c>
      <c r="B549" s="2">
        <v>45793</v>
      </c>
      <c r="C549" s="1" t="s">
        <v>36</v>
      </c>
      <c r="D549" s="1" t="s">
        <v>17</v>
      </c>
      <c r="E549" s="1" t="s">
        <v>23</v>
      </c>
      <c r="F549" s="1">
        <v>144</v>
      </c>
      <c r="G549" s="1">
        <v>37.26</v>
      </c>
      <c r="H549" s="1">
        <v>5365.44</v>
      </c>
      <c r="I549" s="1">
        <v>3727.13</v>
      </c>
      <c r="J549" s="1">
        <v>1638.31</v>
      </c>
      <c r="K549" s="8" t="str">
        <f t="shared" si="8"/>
        <v>May</v>
      </c>
    </row>
    <row r="550" spans="1:11">
      <c r="A550" s="1" t="s">
        <v>574</v>
      </c>
      <c r="B550" s="2">
        <v>45959</v>
      </c>
      <c r="C550" s="1" t="s">
        <v>16</v>
      </c>
      <c r="D550" s="1" t="s">
        <v>29</v>
      </c>
      <c r="E550" s="1" t="s">
        <v>14</v>
      </c>
      <c r="F550" s="1">
        <v>254</v>
      </c>
      <c r="G550" s="1">
        <v>27.12</v>
      </c>
      <c r="H550" s="1">
        <v>6888.48</v>
      </c>
      <c r="I550" s="1">
        <v>5509.97</v>
      </c>
      <c r="J550" s="1">
        <v>1378.51</v>
      </c>
      <c r="K550" s="8" t="str">
        <f t="shared" si="8"/>
        <v>Oct</v>
      </c>
    </row>
    <row r="551" spans="1:11">
      <c r="A551" s="1" t="s">
        <v>575</v>
      </c>
      <c r="B551" s="2">
        <v>45926</v>
      </c>
      <c r="C551" s="1" t="s">
        <v>22</v>
      </c>
      <c r="D551" s="1" t="s">
        <v>29</v>
      </c>
      <c r="E551" s="1" t="s">
        <v>20</v>
      </c>
      <c r="F551" s="1">
        <v>114</v>
      </c>
      <c r="G551" s="1">
        <v>25.82</v>
      </c>
      <c r="H551" s="1">
        <v>2943.48</v>
      </c>
      <c r="I551" s="1">
        <v>2244.91</v>
      </c>
      <c r="J551" s="1">
        <v>698.57</v>
      </c>
      <c r="K551" s="8" t="str">
        <f t="shared" si="8"/>
        <v>Sep</v>
      </c>
    </row>
    <row r="552" spans="1:11">
      <c r="A552" s="1" t="s">
        <v>576</v>
      </c>
      <c r="B552" s="2">
        <v>45736</v>
      </c>
      <c r="C552" s="1" t="s">
        <v>36</v>
      </c>
      <c r="D552" s="1" t="s">
        <v>13</v>
      </c>
      <c r="E552" s="1" t="s">
        <v>14</v>
      </c>
      <c r="F552" s="1">
        <v>245</v>
      </c>
      <c r="G552" s="1">
        <v>15.33</v>
      </c>
      <c r="H552" s="1">
        <v>3755.85</v>
      </c>
      <c r="I552" s="1">
        <v>2965.14</v>
      </c>
      <c r="J552" s="1">
        <v>790.71</v>
      </c>
      <c r="K552" s="8" t="str">
        <f t="shared" si="8"/>
        <v>Mar</v>
      </c>
    </row>
    <row r="553" spans="1:11">
      <c r="A553" s="1" t="s">
        <v>577</v>
      </c>
      <c r="B553" s="2">
        <v>45853</v>
      </c>
      <c r="C553" s="1" t="s">
        <v>16</v>
      </c>
      <c r="D553" s="1" t="s">
        <v>17</v>
      </c>
      <c r="E553" s="1" t="s">
        <v>20</v>
      </c>
      <c r="F553" s="1">
        <v>195</v>
      </c>
      <c r="G553" s="1">
        <v>34.96</v>
      </c>
      <c r="H553" s="1">
        <v>6817.2</v>
      </c>
      <c r="I553" s="1">
        <v>5205.3</v>
      </c>
      <c r="J553" s="1">
        <v>1611.9</v>
      </c>
      <c r="K553" s="8" t="str">
        <f t="shared" si="8"/>
        <v>Jul</v>
      </c>
    </row>
    <row r="554" spans="1:11">
      <c r="A554" s="1" t="s">
        <v>578</v>
      </c>
      <c r="B554" s="2">
        <v>46017</v>
      </c>
      <c r="C554" s="1" t="s">
        <v>36</v>
      </c>
      <c r="D554" s="1" t="s">
        <v>29</v>
      </c>
      <c r="E554" s="1" t="s">
        <v>23</v>
      </c>
      <c r="F554" s="1">
        <v>138</v>
      </c>
      <c r="G554" s="1">
        <v>21.25</v>
      </c>
      <c r="H554" s="1">
        <v>2932.5</v>
      </c>
      <c r="I554" s="1">
        <v>1973.44</v>
      </c>
      <c r="J554" s="1">
        <v>959.06</v>
      </c>
      <c r="K554" s="8" t="str">
        <f t="shared" si="8"/>
        <v>Dec</v>
      </c>
    </row>
    <row r="555" spans="1:11">
      <c r="A555" s="1" t="s">
        <v>579</v>
      </c>
      <c r="B555" s="2">
        <v>45812</v>
      </c>
      <c r="C555" s="1" t="s">
        <v>31</v>
      </c>
      <c r="D555" s="1" t="s">
        <v>17</v>
      </c>
      <c r="E555" s="1" t="s">
        <v>33</v>
      </c>
      <c r="F555" s="1">
        <v>241</v>
      </c>
      <c r="G555" s="1">
        <v>29.87</v>
      </c>
      <c r="H555" s="1">
        <v>7198.67</v>
      </c>
      <c r="I555" s="1">
        <v>4715.1499999999996</v>
      </c>
      <c r="J555" s="1">
        <v>2483.52</v>
      </c>
      <c r="K555" s="8" t="str">
        <f t="shared" si="8"/>
        <v>Jun</v>
      </c>
    </row>
    <row r="556" spans="1:11">
      <c r="A556" s="1" t="s">
        <v>580</v>
      </c>
      <c r="B556" s="2">
        <v>45715</v>
      </c>
      <c r="C556" s="1" t="s">
        <v>22</v>
      </c>
      <c r="D556" s="1" t="s">
        <v>29</v>
      </c>
      <c r="E556" s="1" t="s">
        <v>20</v>
      </c>
      <c r="F556" s="1">
        <v>240</v>
      </c>
      <c r="G556" s="1">
        <v>29.04</v>
      </c>
      <c r="H556" s="1">
        <v>6969.6</v>
      </c>
      <c r="I556" s="1">
        <v>5200.2700000000004</v>
      </c>
      <c r="J556" s="1">
        <v>1769.33</v>
      </c>
      <c r="K556" s="8" t="str">
        <f t="shared" si="8"/>
        <v>Feb</v>
      </c>
    </row>
    <row r="557" spans="1:11">
      <c r="A557" s="1" t="s">
        <v>581</v>
      </c>
      <c r="B557" s="2">
        <v>45661</v>
      </c>
      <c r="C557" s="1" t="s">
        <v>22</v>
      </c>
      <c r="D557" s="1" t="s">
        <v>29</v>
      </c>
      <c r="E557" s="1" t="s">
        <v>14</v>
      </c>
      <c r="F557" s="1">
        <v>76</v>
      </c>
      <c r="G557" s="1">
        <v>21.01</v>
      </c>
      <c r="H557" s="1">
        <v>1596.76</v>
      </c>
      <c r="I557" s="1">
        <v>1124.3399999999999</v>
      </c>
      <c r="J557" s="1">
        <v>472.42</v>
      </c>
      <c r="K557" s="8" t="str">
        <f t="shared" si="8"/>
        <v>Jan</v>
      </c>
    </row>
    <row r="558" spans="1:11">
      <c r="A558" s="1" t="s">
        <v>582</v>
      </c>
      <c r="B558" s="2">
        <v>45925</v>
      </c>
      <c r="C558" s="1" t="s">
        <v>12</v>
      </c>
      <c r="D558" s="1" t="s">
        <v>13</v>
      </c>
      <c r="E558" s="1" t="s">
        <v>26</v>
      </c>
      <c r="F558" s="1">
        <v>184</v>
      </c>
      <c r="G558" s="1">
        <v>34.049999999999997</v>
      </c>
      <c r="H558" s="1">
        <v>6265.2</v>
      </c>
      <c r="I558" s="1">
        <v>4075.97</v>
      </c>
      <c r="J558" s="1">
        <v>2189.23</v>
      </c>
      <c r="K558" s="8" t="str">
        <f t="shared" si="8"/>
        <v>Sep</v>
      </c>
    </row>
    <row r="559" spans="1:11">
      <c r="A559" s="1" t="s">
        <v>583</v>
      </c>
      <c r="B559" s="2">
        <v>45950</v>
      </c>
      <c r="C559" s="1" t="s">
        <v>36</v>
      </c>
      <c r="D559" s="1" t="s">
        <v>29</v>
      </c>
      <c r="E559" s="1" t="s">
        <v>14</v>
      </c>
      <c r="F559" s="1">
        <v>142</v>
      </c>
      <c r="G559" s="1">
        <v>11.73</v>
      </c>
      <c r="H559" s="1">
        <v>1665.66</v>
      </c>
      <c r="I559" s="1">
        <v>1058.8399999999999</v>
      </c>
      <c r="J559" s="1">
        <v>606.82000000000005</v>
      </c>
      <c r="K559" s="8" t="str">
        <f t="shared" si="8"/>
        <v>Oct</v>
      </c>
    </row>
    <row r="560" spans="1:11">
      <c r="A560" s="1" t="s">
        <v>584</v>
      </c>
      <c r="B560" s="2">
        <v>45823</v>
      </c>
      <c r="C560" s="1" t="s">
        <v>16</v>
      </c>
      <c r="D560" s="1" t="s">
        <v>29</v>
      </c>
      <c r="E560" s="1" t="s">
        <v>33</v>
      </c>
      <c r="F560" s="1">
        <v>140</v>
      </c>
      <c r="G560" s="1">
        <v>17.25</v>
      </c>
      <c r="H560" s="1">
        <v>2415</v>
      </c>
      <c r="I560" s="1">
        <v>1851.89</v>
      </c>
      <c r="J560" s="1">
        <v>563.11</v>
      </c>
      <c r="K560" s="8" t="str">
        <f t="shared" si="8"/>
        <v>Jun</v>
      </c>
    </row>
    <row r="561" spans="1:11">
      <c r="A561" s="1" t="s">
        <v>585</v>
      </c>
      <c r="B561" s="2">
        <v>45910</v>
      </c>
      <c r="C561" s="1" t="s">
        <v>31</v>
      </c>
      <c r="D561" s="1" t="s">
        <v>29</v>
      </c>
      <c r="E561" s="1" t="s">
        <v>14</v>
      </c>
      <c r="F561" s="1">
        <v>55</v>
      </c>
      <c r="G561" s="1">
        <v>16.05</v>
      </c>
      <c r="H561" s="1">
        <v>882.75</v>
      </c>
      <c r="I561" s="1">
        <v>604.36</v>
      </c>
      <c r="J561" s="1">
        <v>278.39</v>
      </c>
      <c r="K561" s="8" t="str">
        <f t="shared" si="8"/>
        <v>Sep</v>
      </c>
    </row>
    <row r="562" spans="1:11">
      <c r="A562" s="1" t="s">
        <v>586</v>
      </c>
      <c r="B562" s="2">
        <v>45680</v>
      </c>
      <c r="C562" s="1" t="s">
        <v>31</v>
      </c>
      <c r="D562" s="1" t="s">
        <v>17</v>
      </c>
      <c r="E562" s="1" t="s">
        <v>18</v>
      </c>
      <c r="F562" s="1">
        <v>236</v>
      </c>
      <c r="G562" s="1">
        <v>21.27</v>
      </c>
      <c r="H562" s="1">
        <v>5019.72</v>
      </c>
      <c r="I562" s="1">
        <v>3053.75</v>
      </c>
      <c r="J562" s="1">
        <v>1965.97</v>
      </c>
      <c r="K562" s="8" t="str">
        <f t="shared" si="8"/>
        <v>Jan</v>
      </c>
    </row>
    <row r="563" spans="1:11">
      <c r="A563" s="1" t="s">
        <v>587</v>
      </c>
      <c r="B563" s="2">
        <v>45989</v>
      </c>
      <c r="C563" s="1" t="s">
        <v>12</v>
      </c>
      <c r="D563" s="1" t="s">
        <v>13</v>
      </c>
      <c r="E563" s="1" t="s">
        <v>23</v>
      </c>
      <c r="F563" s="1">
        <v>141</v>
      </c>
      <c r="G563" s="1">
        <v>20.57</v>
      </c>
      <c r="H563" s="1">
        <v>2900.37</v>
      </c>
      <c r="I563" s="1">
        <v>1963.76</v>
      </c>
      <c r="J563" s="1">
        <v>936.61</v>
      </c>
      <c r="K563" s="8" t="str">
        <f t="shared" si="8"/>
        <v>Nov</v>
      </c>
    </row>
    <row r="564" spans="1:11">
      <c r="A564" s="1" t="s">
        <v>588</v>
      </c>
      <c r="B564" s="2">
        <v>45756</v>
      </c>
      <c r="C564" s="1" t="s">
        <v>16</v>
      </c>
      <c r="D564" s="1" t="s">
        <v>13</v>
      </c>
      <c r="E564" s="1" t="s">
        <v>18</v>
      </c>
      <c r="F564" s="1">
        <v>200</v>
      </c>
      <c r="G564" s="1">
        <v>11.9</v>
      </c>
      <c r="H564" s="1">
        <v>2380</v>
      </c>
      <c r="I564" s="1">
        <v>1524.69</v>
      </c>
      <c r="J564" s="1">
        <v>855.31</v>
      </c>
      <c r="K564" s="8" t="str">
        <f t="shared" si="8"/>
        <v>Apr</v>
      </c>
    </row>
    <row r="565" spans="1:11">
      <c r="A565" s="1" t="s">
        <v>589</v>
      </c>
      <c r="B565" s="2">
        <v>45852</v>
      </c>
      <c r="C565" s="1" t="s">
        <v>36</v>
      </c>
      <c r="D565" s="1" t="s">
        <v>13</v>
      </c>
      <c r="E565" s="1" t="s">
        <v>26</v>
      </c>
      <c r="F565" s="1">
        <v>211</v>
      </c>
      <c r="G565" s="1">
        <v>25.77</v>
      </c>
      <c r="H565" s="1">
        <v>5437.47</v>
      </c>
      <c r="I565" s="1">
        <v>3802.53</v>
      </c>
      <c r="J565" s="1">
        <v>1634.94</v>
      </c>
      <c r="K565" s="8" t="str">
        <f t="shared" si="8"/>
        <v>Jul</v>
      </c>
    </row>
    <row r="566" spans="1:11">
      <c r="A566" s="1" t="s">
        <v>590</v>
      </c>
      <c r="B566" s="2">
        <v>45961</v>
      </c>
      <c r="C566" s="1" t="s">
        <v>28</v>
      </c>
      <c r="D566" s="1" t="s">
        <v>17</v>
      </c>
      <c r="E566" s="1" t="s">
        <v>18</v>
      </c>
      <c r="F566" s="1">
        <v>298</v>
      </c>
      <c r="G566" s="1">
        <v>23.88</v>
      </c>
      <c r="H566" s="1">
        <v>7116.24</v>
      </c>
      <c r="I566" s="1">
        <v>4927.54</v>
      </c>
      <c r="J566" s="1">
        <v>2188.6999999999998</v>
      </c>
      <c r="K566" s="8" t="str">
        <f t="shared" si="8"/>
        <v>Oct</v>
      </c>
    </row>
    <row r="567" spans="1:11">
      <c r="A567" s="1" t="s">
        <v>591</v>
      </c>
      <c r="B567" s="2">
        <v>45748</v>
      </c>
      <c r="C567" s="1" t="s">
        <v>12</v>
      </c>
      <c r="D567" s="1" t="s">
        <v>13</v>
      </c>
      <c r="E567" s="1" t="s">
        <v>33</v>
      </c>
      <c r="F567" s="1">
        <v>43</v>
      </c>
      <c r="G567" s="1">
        <v>23.2</v>
      </c>
      <c r="H567" s="1">
        <v>997.6</v>
      </c>
      <c r="I567" s="1">
        <v>696.58</v>
      </c>
      <c r="J567" s="1">
        <v>301.02</v>
      </c>
      <c r="K567" s="8" t="str">
        <f t="shared" si="8"/>
        <v>Apr</v>
      </c>
    </row>
    <row r="568" spans="1:11">
      <c r="A568" s="1" t="s">
        <v>592</v>
      </c>
      <c r="B568" s="2">
        <v>45776</v>
      </c>
      <c r="C568" s="1" t="s">
        <v>36</v>
      </c>
      <c r="D568" s="1" t="s">
        <v>17</v>
      </c>
      <c r="E568" s="1" t="s">
        <v>23</v>
      </c>
      <c r="F568" s="1">
        <v>112</v>
      </c>
      <c r="G568" s="1">
        <v>22.05</v>
      </c>
      <c r="H568" s="1">
        <v>2469.6</v>
      </c>
      <c r="I568" s="1">
        <v>1501.81</v>
      </c>
      <c r="J568" s="1">
        <v>967.79</v>
      </c>
      <c r="K568" s="8" t="str">
        <f t="shared" si="8"/>
        <v>Apr</v>
      </c>
    </row>
    <row r="569" spans="1:11">
      <c r="A569" s="1" t="s">
        <v>593</v>
      </c>
      <c r="B569" s="2">
        <v>45827</v>
      </c>
      <c r="C569" s="1" t="s">
        <v>22</v>
      </c>
      <c r="D569" s="1" t="s">
        <v>13</v>
      </c>
      <c r="E569" s="1" t="s">
        <v>23</v>
      </c>
      <c r="F569" s="1">
        <v>208</v>
      </c>
      <c r="G569" s="1">
        <v>33.1</v>
      </c>
      <c r="H569" s="1">
        <v>6884.8</v>
      </c>
      <c r="I569" s="1">
        <v>4293.53</v>
      </c>
      <c r="J569" s="1">
        <v>2591.27</v>
      </c>
      <c r="K569" s="8" t="str">
        <f t="shared" si="8"/>
        <v>Jun</v>
      </c>
    </row>
    <row r="570" spans="1:11">
      <c r="A570" s="1" t="s">
        <v>594</v>
      </c>
      <c r="B570" s="2">
        <v>45665</v>
      </c>
      <c r="C570" s="1" t="s">
        <v>22</v>
      </c>
      <c r="D570" s="1" t="s">
        <v>29</v>
      </c>
      <c r="E570" s="1" t="s">
        <v>18</v>
      </c>
      <c r="F570" s="1">
        <v>62</v>
      </c>
      <c r="G570" s="1">
        <v>24.91</v>
      </c>
      <c r="H570" s="1">
        <v>1544.42</v>
      </c>
      <c r="I570" s="1">
        <v>1188.6300000000001</v>
      </c>
      <c r="J570" s="1">
        <v>355.79</v>
      </c>
      <c r="K570" s="8" t="str">
        <f t="shared" si="8"/>
        <v>Jan</v>
      </c>
    </row>
    <row r="571" spans="1:11">
      <c r="A571" s="1" t="s">
        <v>595</v>
      </c>
      <c r="B571" s="2">
        <v>45686</v>
      </c>
      <c r="C571" s="1" t="s">
        <v>16</v>
      </c>
      <c r="D571" s="1" t="s">
        <v>29</v>
      </c>
      <c r="E571" s="1" t="s">
        <v>33</v>
      </c>
      <c r="F571" s="1">
        <v>112</v>
      </c>
      <c r="G571" s="1">
        <v>31.33</v>
      </c>
      <c r="H571" s="1">
        <v>3508.96</v>
      </c>
      <c r="I571" s="1">
        <v>2444.1999999999998</v>
      </c>
      <c r="J571" s="1">
        <v>1064.76</v>
      </c>
      <c r="K571" s="8" t="str">
        <f t="shared" si="8"/>
        <v>Jan</v>
      </c>
    </row>
    <row r="572" spans="1:11">
      <c r="A572" s="1" t="s">
        <v>596</v>
      </c>
      <c r="B572" s="2">
        <v>45871</v>
      </c>
      <c r="C572" s="1" t="s">
        <v>36</v>
      </c>
      <c r="D572" s="1" t="s">
        <v>13</v>
      </c>
      <c r="E572" s="1" t="s">
        <v>14</v>
      </c>
      <c r="F572" s="1">
        <v>81</v>
      </c>
      <c r="G572" s="1">
        <v>39.94</v>
      </c>
      <c r="H572" s="1">
        <v>3235.14</v>
      </c>
      <c r="I572" s="1">
        <v>2469.61</v>
      </c>
      <c r="J572" s="1">
        <v>765.53</v>
      </c>
      <c r="K572" s="8" t="str">
        <f t="shared" si="8"/>
        <v>Aug</v>
      </c>
    </row>
    <row r="573" spans="1:11">
      <c r="A573" s="1" t="s">
        <v>597</v>
      </c>
      <c r="B573" s="2">
        <v>45829</v>
      </c>
      <c r="C573" s="1" t="s">
        <v>12</v>
      </c>
      <c r="D573" s="1" t="s">
        <v>17</v>
      </c>
      <c r="E573" s="1" t="s">
        <v>23</v>
      </c>
      <c r="F573" s="1">
        <v>107</v>
      </c>
      <c r="G573" s="1">
        <v>25.55</v>
      </c>
      <c r="H573" s="1">
        <v>2733.85</v>
      </c>
      <c r="I573" s="1">
        <v>1643.6</v>
      </c>
      <c r="J573" s="1">
        <v>1090.25</v>
      </c>
      <c r="K573" s="8" t="str">
        <f t="shared" si="8"/>
        <v>Jun</v>
      </c>
    </row>
    <row r="574" spans="1:11">
      <c r="A574" s="1" t="s">
        <v>598</v>
      </c>
      <c r="B574" s="2">
        <v>45792</v>
      </c>
      <c r="C574" s="1" t="s">
        <v>31</v>
      </c>
      <c r="D574" s="1" t="s">
        <v>29</v>
      </c>
      <c r="E574" s="1" t="s">
        <v>18</v>
      </c>
      <c r="F574" s="1">
        <v>54</v>
      </c>
      <c r="G574" s="1">
        <v>19.39</v>
      </c>
      <c r="H574" s="1">
        <v>1047.06</v>
      </c>
      <c r="I574" s="1">
        <v>681.64</v>
      </c>
      <c r="J574" s="1">
        <v>365.42</v>
      </c>
      <c r="K574" s="8" t="str">
        <f t="shared" si="8"/>
        <v>May</v>
      </c>
    </row>
    <row r="575" spans="1:11">
      <c r="A575" s="1" t="s">
        <v>599</v>
      </c>
      <c r="B575" s="2">
        <v>45919</v>
      </c>
      <c r="C575" s="1" t="s">
        <v>22</v>
      </c>
      <c r="D575" s="1" t="s">
        <v>17</v>
      </c>
      <c r="E575" s="1" t="s">
        <v>18</v>
      </c>
      <c r="F575" s="1">
        <v>225</v>
      </c>
      <c r="G575" s="1">
        <v>30.43</v>
      </c>
      <c r="H575" s="1">
        <v>6846.75</v>
      </c>
      <c r="I575" s="1">
        <v>4528.2299999999996</v>
      </c>
      <c r="J575" s="1">
        <v>2318.52</v>
      </c>
      <c r="K575" s="8" t="str">
        <f t="shared" si="8"/>
        <v>Sep</v>
      </c>
    </row>
    <row r="576" spans="1:11">
      <c r="A576" s="1" t="s">
        <v>600</v>
      </c>
      <c r="B576" s="2">
        <v>45934</v>
      </c>
      <c r="C576" s="1" t="s">
        <v>22</v>
      </c>
      <c r="D576" s="1" t="s">
        <v>29</v>
      </c>
      <c r="E576" s="1" t="s">
        <v>33</v>
      </c>
      <c r="F576" s="1">
        <v>141</v>
      </c>
      <c r="G576" s="1">
        <v>19.149999999999999</v>
      </c>
      <c r="H576" s="1">
        <v>2700.15</v>
      </c>
      <c r="I576" s="1">
        <v>1691.24</v>
      </c>
      <c r="J576" s="1">
        <v>1008.91</v>
      </c>
      <c r="K576" s="8" t="str">
        <f t="shared" si="8"/>
        <v>Oct</v>
      </c>
    </row>
    <row r="577" spans="1:11">
      <c r="A577" s="1" t="s">
        <v>601</v>
      </c>
      <c r="B577" s="2">
        <v>45849</v>
      </c>
      <c r="C577" s="1" t="s">
        <v>22</v>
      </c>
      <c r="D577" s="1" t="s">
        <v>17</v>
      </c>
      <c r="E577" s="1" t="s">
        <v>14</v>
      </c>
      <c r="F577" s="1">
        <v>247</v>
      </c>
      <c r="G577" s="1">
        <v>29.69</v>
      </c>
      <c r="H577" s="1">
        <v>7333.43</v>
      </c>
      <c r="I577" s="1">
        <v>5441.22</v>
      </c>
      <c r="J577" s="1">
        <v>1892.21</v>
      </c>
      <c r="K577" s="8" t="str">
        <f t="shared" si="8"/>
        <v>Jul</v>
      </c>
    </row>
    <row r="578" spans="1:11">
      <c r="A578" s="1" t="s">
        <v>602</v>
      </c>
      <c r="B578" s="2">
        <v>45760</v>
      </c>
      <c r="C578" s="1" t="s">
        <v>16</v>
      </c>
      <c r="D578" s="1" t="s">
        <v>29</v>
      </c>
      <c r="E578" s="1" t="s">
        <v>14</v>
      </c>
      <c r="F578" s="1">
        <v>243</v>
      </c>
      <c r="G578" s="1">
        <v>37.58</v>
      </c>
      <c r="H578" s="1">
        <v>9131.94</v>
      </c>
      <c r="I578" s="1">
        <v>6494.87</v>
      </c>
      <c r="J578" s="1">
        <v>2637.07</v>
      </c>
      <c r="K578" s="8" t="str">
        <f t="shared" ref="K578:K641" si="9">TEXT(B578,"mmm")</f>
        <v>Apr</v>
      </c>
    </row>
    <row r="579" spans="1:11">
      <c r="A579" s="1" t="s">
        <v>603</v>
      </c>
      <c r="B579" s="2">
        <v>45662</v>
      </c>
      <c r="C579" s="1" t="s">
        <v>31</v>
      </c>
      <c r="D579" s="1" t="s">
        <v>13</v>
      </c>
      <c r="E579" s="1" t="s">
        <v>14</v>
      </c>
      <c r="F579" s="1">
        <v>282</v>
      </c>
      <c r="G579" s="1">
        <v>12.03</v>
      </c>
      <c r="H579" s="1">
        <v>3392.46</v>
      </c>
      <c r="I579" s="1">
        <v>2681</v>
      </c>
      <c r="J579" s="1">
        <v>711.46</v>
      </c>
      <c r="K579" s="8" t="str">
        <f t="shared" si="9"/>
        <v>Jan</v>
      </c>
    </row>
    <row r="580" spans="1:11">
      <c r="A580" s="1" t="s">
        <v>604</v>
      </c>
      <c r="B580" s="2">
        <v>45770</v>
      </c>
      <c r="C580" s="1" t="s">
        <v>12</v>
      </c>
      <c r="D580" s="1" t="s">
        <v>29</v>
      </c>
      <c r="E580" s="1" t="s">
        <v>18</v>
      </c>
      <c r="F580" s="1">
        <v>234</v>
      </c>
      <c r="G580" s="1">
        <v>18.75</v>
      </c>
      <c r="H580" s="1">
        <v>4387.5</v>
      </c>
      <c r="I580" s="1">
        <v>3256.01</v>
      </c>
      <c r="J580" s="1">
        <v>1131.49</v>
      </c>
      <c r="K580" s="8" t="str">
        <f t="shared" si="9"/>
        <v>Apr</v>
      </c>
    </row>
    <row r="581" spans="1:11">
      <c r="A581" s="1" t="s">
        <v>605</v>
      </c>
      <c r="B581" s="2">
        <v>45865</v>
      </c>
      <c r="C581" s="1" t="s">
        <v>22</v>
      </c>
      <c r="D581" s="1" t="s">
        <v>17</v>
      </c>
      <c r="E581" s="1" t="s">
        <v>33</v>
      </c>
      <c r="F581" s="1">
        <v>237</v>
      </c>
      <c r="G581" s="1">
        <v>16.12</v>
      </c>
      <c r="H581" s="1">
        <v>3820.44</v>
      </c>
      <c r="I581" s="1">
        <v>2447.54</v>
      </c>
      <c r="J581" s="1">
        <v>1372.9</v>
      </c>
      <c r="K581" s="8" t="str">
        <f t="shared" si="9"/>
        <v>Jul</v>
      </c>
    </row>
    <row r="582" spans="1:11">
      <c r="A582" s="1" t="s">
        <v>606</v>
      </c>
      <c r="B582" s="2">
        <v>45721</v>
      </c>
      <c r="C582" s="1" t="s">
        <v>12</v>
      </c>
      <c r="D582" s="1" t="s">
        <v>17</v>
      </c>
      <c r="E582" s="1" t="s">
        <v>20</v>
      </c>
      <c r="F582" s="1">
        <v>35</v>
      </c>
      <c r="G582" s="1">
        <v>14.11</v>
      </c>
      <c r="H582" s="1">
        <v>493.85</v>
      </c>
      <c r="I582" s="1">
        <v>383.22</v>
      </c>
      <c r="J582" s="1">
        <v>110.63</v>
      </c>
      <c r="K582" s="8" t="str">
        <f t="shared" si="9"/>
        <v>Mar</v>
      </c>
    </row>
    <row r="583" spans="1:11">
      <c r="A583" s="1" t="s">
        <v>607</v>
      </c>
      <c r="B583" s="2">
        <v>45665</v>
      </c>
      <c r="C583" s="1" t="s">
        <v>22</v>
      </c>
      <c r="D583" s="1" t="s">
        <v>29</v>
      </c>
      <c r="E583" s="1" t="s">
        <v>33</v>
      </c>
      <c r="F583" s="1">
        <v>297</v>
      </c>
      <c r="G583" s="1">
        <v>32.119999999999997</v>
      </c>
      <c r="H583" s="1">
        <v>9539.64</v>
      </c>
      <c r="I583" s="1">
        <v>6036.92</v>
      </c>
      <c r="J583" s="1">
        <v>3502.72</v>
      </c>
      <c r="K583" s="8" t="str">
        <f t="shared" si="9"/>
        <v>Jan</v>
      </c>
    </row>
    <row r="584" spans="1:11">
      <c r="A584" s="1" t="s">
        <v>608</v>
      </c>
      <c r="B584" s="2">
        <v>46003</v>
      </c>
      <c r="C584" s="1" t="s">
        <v>22</v>
      </c>
      <c r="D584" s="1" t="s">
        <v>13</v>
      </c>
      <c r="E584" s="1" t="s">
        <v>33</v>
      </c>
      <c r="F584" s="1">
        <v>160</v>
      </c>
      <c r="G584" s="1">
        <v>34.06</v>
      </c>
      <c r="H584" s="1">
        <v>5449.6</v>
      </c>
      <c r="I584" s="1">
        <v>3852.27</v>
      </c>
      <c r="J584" s="1">
        <v>1597.33</v>
      </c>
      <c r="K584" s="8" t="str">
        <f t="shared" si="9"/>
        <v>Dec</v>
      </c>
    </row>
    <row r="585" spans="1:11">
      <c r="A585" s="1" t="s">
        <v>609</v>
      </c>
      <c r="B585" s="2">
        <v>45763</v>
      </c>
      <c r="C585" s="1" t="s">
        <v>16</v>
      </c>
      <c r="D585" s="1" t="s">
        <v>13</v>
      </c>
      <c r="E585" s="1" t="s">
        <v>18</v>
      </c>
      <c r="F585" s="1">
        <v>274</v>
      </c>
      <c r="G585" s="1">
        <v>13.03</v>
      </c>
      <c r="H585" s="1">
        <v>3570.22</v>
      </c>
      <c r="I585" s="1">
        <v>2210.13</v>
      </c>
      <c r="J585" s="1">
        <v>1360.09</v>
      </c>
      <c r="K585" s="8" t="str">
        <f t="shared" si="9"/>
        <v>Apr</v>
      </c>
    </row>
    <row r="586" spans="1:11">
      <c r="A586" s="1" t="s">
        <v>610</v>
      </c>
      <c r="B586" s="2">
        <v>45772</v>
      </c>
      <c r="C586" s="1" t="s">
        <v>28</v>
      </c>
      <c r="D586" s="1" t="s">
        <v>13</v>
      </c>
      <c r="E586" s="1" t="s">
        <v>26</v>
      </c>
      <c r="F586" s="1">
        <v>141</v>
      </c>
      <c r="G586" s="1">
        <v>31.19</v>
      </c>
      <c r="H586" s="1">
        <v>4397.79</v>
      </c>
      <c r="I586" s="1">
        <v>3027.8</v>
      </c>
      <c r="J586" s="1">
        <v>1369.99</v>
      </c>
      <c r="K586" s="8" t="str">
        <f t="shared" si="9"/>
        <v>Apr</v>
      </c>
    </row>
    <row r="587" spans="1:11">
      <c r="A587" s="1" t="s">
        <v>611</v>
      </c>
      <c r="B587" s="2">
        <v>46014</v>
      </c>
      <c r="C587" s="1" t="s">
        <v>31</v>
      </c>
      <c r="D587" s="1" t="s">
        <v>13</v>
      </c>
      <c r="E587" s="1" t="s">
        <v>23</v>
      </c>
      <c r="F587" s="1">
        <v>78</v>
      </c>
      <c r="G587" s="1">
        <v>11.25</v>
      </c>
      <c r="H587" s="1">
        <v>877.5</v>
      </c>
      <c r="I587" s="1">
        <v>673.24</v>
      </c>
      <c r="J587" s="1">
        <v>204.26</v>
      </c>
      <c r="K587" s="8" t="str">
        <f t="shared" si="9"/>
        <v>Dec</v>
      </c>
    </row>
    <row r="588" spans="1:11">
      <c r="A588" s="1" t="s">
        <v>612</v>
      </c>
      <c r="B588" s="2">
        <v>45821</v>
      </c>
      <c r="C588" s="1" t="s">
        <v>31</v>
      </c>
      <c r="D588" s="1" t="s">
        <v>17</v>
      </c>
      <c r="E588" s="1" t="s">
        <v>23</v>
      </c>
      <c r="F588" s="1">
        <v>297</v>
      </c>
      <c r="G588" s="1">
        <v>31.58</v>
      </c>
      <c r="H588" s="1">
        <v>9379.26</v>
      </c>
      <c r="I588" s="1">
        <v>6208.26</v>
      </c>
      <c r="J588" s="1">
        <v>3171</v>
      </c>
      <c r="K588" s="8" t="str">
        <f t="shared" si="9"/>
        <v>Jun</v>
      </c>
    </row>
    <row r="589" spans="1:11">
      <c r="A589" s="1" t="s">
        <v>613</v>
      </c>
      <c r="B589" s="2">
        <v>45767</v>
      </c>
      <c r="C589" s="1" t="s">
        <v>22</v>
      </c>
      <c r="D589" s="1" t="s">
        <v>17</v>
      </c>
      <c r="E589" s="1" t="s">
        <v>26</v>
      </c>
      <c r="F589" s="1">
        <v>87</v>
      </c>
      <c r="G589" s="1">
        <v>38.369999999999997</v>
      </c>
      <c r="H589" s="1">
        <v>3338.19</v>
      </c>
      <c r="I589" s="1">
        <v>2447.15</v>
      </c>
      <c r="J589" s="1">
        <v>891.04</v>
      </c>
      <c r="K589" s="8" t="str">
        <f t="shared" si="9"/>
        <v>Apr</v>
      </c>
    </row>
    <row r="590" spans="1:11">
      <c r="A590" s="1" t="s">
        <v>614</v>
      </c>
      <c r="B590" s="2">
        <v>45825</v>
      </c>
      <c r="C590" s="1" t="s">
        <v>36</v>
      </c>
      <c r="D590" s="1" t="s">
        <v>29</v>
      </c>
      <c r="E590" s="1" t="s">
        <v>33</v>
      </c>
      <c r="F590" s="1">
        <v>204</v>
      </c>
      <c r="G590" s="1">
        <v>14.68</v>
      </c>
      <c r="H590" s="1">
        <v>2994.72</v>
      </c>
      <c r="I590" s="1">
        <v>1971.16</v>
      </c>
      <c r="J590" s="1">
        <v>1023.56</v>
      </c>
      <c r="K590" s="8" t="str">
        <f t="shared" si="9"/>
        <v>Jun</v>
      </c>
    </row>
    <row r="591" spans="1:11">
      <c r="A591" s="1" t="s">
        <v>615</v>
      </c>
      <c r="B591" s="2">
        <v>45705</v>
      </c>
      <c r="C591" s="1" t="s">
        <v>28</v>
      </c>
      <c r="D591" s="1" t="s">
        <v>17</v>
      </c>
      <c r="E591" s="1" t="s">
        <v>33</v>
      </c>
      <c r="F591" s="1">
        <v>111</v>
      </c>
      <c r="G591" s="1">
        <v>23.93</v>
      </c>
      <c r="H591" s="1">
        <v>2656.23</v>
      </c>
      <c r="I591" s="1">
        <v>1980.61</v>
      </c>
      <c r="J591" s="1">
        <v>675.62</v>
      </c>
      <c r="K591" s="8" t="str">
        <f t="shared" si="9"/>
        <v>Feb</v>
      </c>
    </row>
    <row r="592" spans="1:11">
      <c r="A592" s="1" t="s">
        <v>616</v>
      </c>
      <c r="B592" s="2">
        <v>45863</v>
      </c>
      <c r="C592" s="1" t="s">
        <v>36</v>
      </c>
      <c r="D592" s="1" t="s">
        <v>13</v>
      </c>
      <c r="E592" s="1" t="s">
        <v>33</v>
      </c>
      <c r="F592" s="1">
        <v>68</v>
      </c>
      <c r="G592" s="1">
        <v>11.16</v>
      </c>
      <c r="H592" s="1">
        <v>758.88</v>
      </c>
      <c r="I592" s="1">
        <v>508.73</v>
      </c>
      <c r="J592" s="1">
        <v>250.15</v>
      </c>
      <c r="K592" s="8" t="str">
        <f t="shared" si="9"/>
        <v>Jul</v>
      </c>
    </row>
    <row r="593" spans="1:11">
      <c r="A593" s="1" t="s">
        <v>617</v>
      </c>
      <c r="B593" s="2">
        <v>45926</v>
      </c>
      <c r="C593" s="1" t="s">
        <v>16</v>
      </c>
      <c r="D593" s="1" t="s">
        <v>17</v>
      </c>
      <c r="E593" s="1" t="s">
        <v>26</v>
      </c>
      <c r="F593" s="1">
        <v>279</v>
      </c>
      <c r="G593" s="1">
        <v>12.19</v>
      </c>
      <c r="H593" s="1">
        <v>3401.01</v>
      </c>
      <c r="I593" s="1">
        <v>2373.85</v>
      </c>
      <c r="J593" s="1">
        <v>1027.1600000000001</v>
      </c>
      <c r="K593" s="8" t="str">
        <f t="shared" si="9"/>
        <v>Sep</v>
      </c>
    </row>
    <row r="594" spans="1:11">
      <c r="A594" s="1" t="s">
        <v>618</v>
      </c>
      <c r="B594" s="2">
        <v>45760</v>
      </c>
      <c r="C594" s="1" t="s">
        <v>12</v>
      </c>
      <c r="D594" s="1" t="s">
        <v>29</v>
      </c>
      <c r="E594" s="1" t="s">
        <v>26</v>
      </c>
      <c r="F594" s="1">
        <v>258</v>
      </c>
      <c r="G594" s="1">
        <v>18.399999999999999</v>
      </c>
      <c r="H594" s="1">
        <v>4747.2</v>
      </c>
      <c r="I594" s="1">
        <v>3135.96</v>
      </c>
      <c r="J594" s="1">
        <v>1611.24</v>
      </c>
      <c r="K594" s="8" t="str">
        <f t="shared" si="9"/>
        <v>Apr</v>
      </c>
    </row>
    <row r="595" spans="1:11">
      <c r="A595" s="1" t="s">
        <v>619</v>
      </c>
      <c r="B595" s="2">
        <v>45761</v>
      </c>
      <c r="C595" s="1" t="s">
        <v>22</v>
      </c>
      <c r="D595" s="1" t="s">
        <v>29</v>
      </c>
      <c r="E595" s="1" t="s">
        <v>14</v>
      </c>
      <c r="F595" s="1">
        <v>81</v>
      </c>
      <c r="G595" s="1">
        <v>24.11</v>
      </c>
      <c r="H595" s="1">
        <v>1952.91</v>
      </c>
      <c r="I595" s="1">
        <v>1471.62</v>
      </c>
      <c r="J595" s="1">
        <v>481.29</v>
      </c>
      <c r="K595" s="8" t="str">
        <f t="shared" si="9"/>
        <v>Apr</v>
      </c>
    </row>
    <row r="596" spans="1:11">
      <c r="A596" s="1" t="s">
        <v>620</v>
      </c>
      <c r="B596" s="2">
        <v>45674</v>
      </c>
      <c r="C596" s="1" t="s">
        <v>22</v>
      </c>
      <c r="D596" s="1" t="s">
        <v>29</v>
      </c>
      <c r="E596" s="1" t="s">
        <v>14</v>
      </c>
      <c r="F596" s="1">
        <v>61</v>
      </c>
      <c r="G596" s="1">
        <v>39.020000000000003</v>
      </c>
      <c r="H596" s="1">
        <v>2380.2199999999998</v>
      </c>
      <c r="I596" s="1">
        <v>1592.03</v>
      </c>
      <c r="J596" s="1">
        <v>788.19</v>
      </c>
      <c r="K596" s="8" t="str">
        <f t="shared" si="9"/>
        <v>Jan</v>
      </c>
    </row>
    <row r="597" spans="1:11">
      <c r="A597" s="1" t="s">
        <v>621</v>
      </c>
      <c r="B597" s="2">
        <v>45683</v>
      </c>
      <c r="C597" s="1" t="s">
        <v>22</v>
      </c>
      <c r="D597" s="1" t="s">
        <v>17</v>
      </c>
      <c r="E597" s="1" t="s">
        <v>33</v>
      </c>
      <c r="F597" s="1">
        <v>98</v>
      </c>
      <c r="G597" s="1">
        <v>19.989999999999998</v>
      </c>
      <c r="H597" s="1">
        <v>1959.02</v>
      </c>
      <c r="I597" s="1">
        <v>1351.58</v>
      </c>
      <c r="J597" s="1">
        <v>607.44000000000005</v>
      </c>
      <c r="K597" s="8" t="str">
        <f t="shared" si="9"/>
        <v>Jan</v>
      </c>
    </row>
    <row r="598" spans="1:11">
      <c r="A598" s="1" t="s">
        <v>622</v>
      </c>
      <c r="B598" s="2">
        <v>45844</v>
      </c>
      <c r="C598" s="1" t="s">
        <v>16</v>
      </c>
      <c r="D598" s="1" t="s">
        <v>29</v>
      </c>
      <c r="E598" s="1" t="s">
        <v>23</v>
      </c>
      <c r="F598" s="1">
        <v>101</v>
      </c>
      <c r="G598" s="1">
        <v>13.29</v>
      </c>
      <c r="H598" s="1">
        <v>1342.29</v>
      </c>
      <c r="I598" s="1">
        <v>1028.74</v>
      </c>
      <c r="J598" s="1">
        <v>313.55</v>
      </c>
      <c r="K598" s="8" t="str">
        <f t="shared" si="9"/>
        <v>Jul</v>
      </c>
    </row>
    <row r="599" spans="1:11">
      <c r="A599" s="1" t="s">
        <v>623</v>
      </c>
      <c r="B599" s="2">
        <v>45890</v>
      </c>
      <c r="C599" s="1" t="s">
        <v>22</v>
      </c>
      <c r="D599" s="1" t="s">
        <v>29</v>
      </c>
      <c r="E599" s="1" t="s">
        <v>18</v>
      </c>
      <c r="F599" s="1">
        <v>58</v>
      </c>
      <c r="G599" s="1">
        <v>32.409999999999997</v>
      </c>
      <c r="H599" s="1">
        <v>1879.78</v>
      </c>
      <c r="I599" s="1">
        <v>1170.33</v>
      </c>
      <c r="J599" s="1">
        <v>709.45</v>
      </c>
      <c r="K599" s="8" t="str">
        <f t="shared" si="9"/>
        <v>Aug</v>
      </c>
    </row>
    <row r="600" spans="1:11">
      <c r="A600" s="1" t="s">
        <v>624</v>
      </c>
      <c r="B600" s="2">
        <v>45894</v>
      </c>
      <c r="C600" s="1" t="s">
        <v>16</v>
      </c>
      <c r="D600" s="1" t="s">
        <v>17</v>
      </c>
      <c r="E600" s="1" t="s">
        <v>33</v>
      </c>
      <c r="F600" s="1">
        <v>28</v>
      </c>
      <c r="G600" s="1">
        <v>11.01</v>
      </c>
      <c r="H600" s="1">
        <v>308.27999999999997</v>
      </c>
      <c r="I600" s="1">
        <v>216.62</v>
      </c>
      <c r="J600" s="1">
        <v>91.66</v>
      </c>
      <c r="K600" s="8" t="str">
        <f t="shared" si="9"/>
        <v>Aug</v>
      </c>
    </row>
    <row r="601" spans="1:11">
      <c r="A601" s="1" t="s">
        <v>625</v>
      </c>
      <c r="B601" s="2">
        <v>46014</v>
      </c>
      <c r="C601" s="1" t="s">
        <v>16</v>
      </c>
      <c r="D601" s="1" t="s">
        <v>17</v>
      </c>
      <c r="E601" s="1" t="s">
        <v>33</v>
      </c>
      <c r="F601" s="1">
        <v>77</v>
      </c>
      <c r="G601" s="1">
        <v>22.46</v>
      </c>
      <c r="H601" s="1">
        <v>1729.42</v>
      </c>
      <c r="I601" s="1">
        <v>1327.22</v>
      </c>
      <c r="J601" s="1">
        <v>402.2</v>
      </c>
      <c r="K601" s="8" t="str">
        <f t="shared" si="9"/>
        <v>Dec</v>
      </c>
    </row>
    <row r="602" spans="1:11">
      <c r="A602" s="1" t="s">
        <v>626</v>
      </c>
      <c r="B602" s="2">
        <v>45997</v>
      </c>
      <c r="C602" s="1" t="s">
        <v>16</v>
      </c>
      <c r="D602" s="1" t="s">
        <v>17</v>
      </c>
      <c r="E602" s="1" t="s">
        <v>26</v>
      </c>
      <c r="F602" s="1">
        <v>93</v>
      </c>
      <c r="G602" s="1">
        <v>20.78</v>
      </c>
      <c r="H602" s="1">
        <v>1932.54</v>
      </c>
      <c r="I602" s="1">
        <v>1415.68</v>
      </c>
      <c r="J602" s="1">
        <v>516.86</v>
      </c>
      <c r="K602" s="8" t="str">
        <f t="shared" si="9"/>
        <v>Dec</v>
      </c>
    </row>
    <row r="603" spans="1:11">
      <c r="A603" s="1" t="s">
        <v>627</v>
      </c>
      <c r="B603" s="2">
        <v>45988</v>
      </c>
      <c r="C603" s="1" t="s">
        <v>16</v>
      </c>
      <c r="D603" s="1" t="s">
        <v>13</v>
      </c>
      <c r="E603" s="1" t="s">
        <v>26</v>
      </c>
      <c r="F603" s="1">
        <v>255</v>
      </c>
      <c r="G603" s="1">
        <v>19.100000000000001</v>
      </c>
      <c r="H603" s="1">
        <v>4870.5</v>
      </c>
      <c r="I603" s="1">
        <v>3176.81</v>
      </c>
      <c r="J603" s="1">
        <v>1693.69</v>
      </c>
      <c r="K603" s="8" t="str">
        <f t="shared" si="9"/>
        <v>Nov</v>
      </c>
    </row>
    <row r="604" spans="1:11">
      <c r="A604" s="1" t="s">
        <v>628</v>
      </c>
      <c r="B604" s="2">
        <v>45736</v>
      </c>
      <c r="C604" s="1" t="s">
        <v>31</v>
      </c>
      <c r="D604" s="1" t="s">
        <v>17</v>
      </c>
      <c r="E604" s="1" t="s">
        <v>20</v>
      </c>
      <c r="F604" s="1">
        <v>264</v>
      </c>
      <c r="G604" s="1">
        <v>18.11</v>
      </c>
      <c r="H604" s="1">
        <v>4781.04</v>
      </c>
      <c r="I604" s="1">
        <v>3385.98</v>
      </c>
      <c r="J604" s="1">
        <v>1395.06</v>
      </c>
      <c r="K604" s="8" t="str">
        <f t="shared" si="9"/>
        <v>Mar</v>
      </c>
    </row>
    <row r="605" spans="1:11">
      <c r="A605" s="1" t="s">
        <v>629</v>
      </c>
      <c r="B605" s="2">
        <v>45741</v>
      </c>
      <c r="C605" s="1" t="s">
        <v>22</v>
      </c>
      <c r="D605" s="1" t="s">
        <v>17</v>
      </c>
      <c r="E605" s="1" t="s">
        <v>18</v>
      </c>
      <c r="F605" s="1">
        <v>284</v>
      </c>
      <c r="G605" s="1">
        <v>11.26</v>
      </c>
      <c r="H605" s="1">
        <v>3197.84</v>
      </c>
      <c r="I605" s="1">
        <v>2082.58</v>
      </c>
      <c r="J605" s="1">
        <v>1115.26</v>
      </c>
      <c r="K605" s="8" t="str">
        <f t="shared" si="9"/>
        <v>Mar</v>
      </c>
    </row>
    <row r="606" spans="1:11">
      <c r="A606" s="1" t="s">
        <v>630</v>
      </c>
      <c r="B606" s="2">
        <v>45942</v>
      </c>
      <c r="C606" s="1" t="s">
        <v>36</v>
      </c>
      <c r="D606" s="1" t="s">
        <v>29</v>
      </c>
      <c r="E606" s="1" t="s">
        <v>23</v>
      </c>
      <c r="F606" s="1">
        <v>114</v>
      </c>
      <c r="G606" s="1">
        <v>39.64</v>
      </c>
      <c r="H606" s="1">
        <v>4518.96</v>
      </c>
      <c r="I606" s="1">
        <v>3532.38</v>
      </c>
      <c r="J606" s="1">
        <v>986.58</v>
      </c>
      <c r="K606" s="8" t="str">
        <f t="shared" si="9"/>
        <v>Oct</v>
      </c>
    </row>
    <row r="607" spans="1:11">
      <c r="A607" s="1" t="s">
        <v>631</v>
      </c>
      <c r="B607" s="2">
        <v>45780</v>
      </c>
      <c r="C607" s="1" t="s">
        <v>28</v>
      </c>
      <c r="D607" s="1" t="s">
        <v>29</v>
      </c>
      <c r="E607" s="1" t="s">
        <v>23</v>
      </c>
      <c r="F607" s="1">
        <v>58</v>
      </c>
      <c r="G607" s="1">
        <v>10.45</v>
      </c>
      <c r="H607" s="1">
        <v>606.1</v>
      </c>
      <c r="I607" s="1">
        <v>478.01</v>
      </c>
      <c r="J607" s="1">
        <v>128.09</v>
      </c>
      <c r="K607" s="8" t="str">
        <f t="shared" si="9"/>
        <v>May</v>
      </c>
    </row>
    <row r="608" spans="1:11">
      <c r="A608" s="1" t="s">
        <v>632</v>
      </c>
      <c r="B608" s="2">
        <v>45765</v>
      </c>
      <c r="C608" s="1" t="s">
        <v>31</v>
      </c>
      <c r="D608" s="1" t="s">
        <v>13</v>
      </c>
      <c r="E608" s="1" t="s">
        <v>18</v>
      </c>
      <c r="F608" s="1">
        <v>127</v>
      </c>
      <c r="G608" s="1">
        <v>12.61</v>
      </c>
      <c r="H608" s="1">
        <v>1601.47</v>
      </c>
      <c r="I608" s="1">
        <v>1015.74</v>
      </c>
      <c r="J608" s="1">
        <v>585.73</v>
      </c>
      <c r="K608" s="8" t="str">
        <f t="shared" si="9"/>
        <v>Apr</v>
      </c>
    </row>
    <row r="609" spans="1:11">
      <c r="A609" s="1" t="s">
        <v>633</v>
      </c>
      <c r="B609" s="2">
        <v>45859</v>
      </c>
      <c r="C609" s="1" t="s">
        <v>16</v>
      </c>
      <c r="D609" s="1" t="s">
        <v>13</v>
      </c>
      <c r="E609" s="1" t="s">
        <v>33</v>
      </c>
      <c r="F609" s="1">
        <v>275</v>
      </c>
      <c r="G609" s="1">
        <v>13.29</v>
      </c>
      <c r="H609" s="1">
        <v>3654.75</v>
      </c>
      <c r="I609" s="1">
        <v>2609.35</v>
      </c>
      <c r="J609" s="1">
        <v>1045.4000000000001</v>
      </c>
      <c r="K609" s="8" t="str">
        <f t="shared" si="9"/>
        <v>Jul</v>
      </c>
    </row>
    <row r="610" spans="1:11">
      <c r="A610" s="1" t="s">
        <v>634</v>
      </c>
      <c r="B610" s="2">
        <v>45954</v>
      </c>
      <c r="C610" s="1" t="s">
        <v>12</v>
      </c>
      <c r="D610" s="1" t="s">
        <v>29</v>
      </c>
      <c r="E610" s="1" t="s">
        <v>26</v>
      </c>
      <c r="F610" s="1">
        <v>121</v>
      </c>
      <c r="G610" s="1">
        <v>17.02</v>
      </c>
      <c r="H610" s="1">
        <v>2059.42</v>
      </c>
      <c r="I610" s="1">
        <v>1480.84</v>
      </c>
      <c r="J610" s="1">
        <v>578.58000000000004</v>
      </c>
      <c r="K610" s="8" t="str">
        <f t="shared" si="9"/>
        <v>Oct</v>
      </c>
    </row>
    <row r="611" spans="1:11">
      <c r="A611" s="1" t="s">
        <v>635</v>
      </c>
      <c r="B611" s="2">
        <v>45783</v>
      </c>
      <c r="C611" s="1" t="s">
        <v>16</v>
      </c>
      <c r="D611" s="1" t="s">
        <v>13</v>
      </c>
      <c r="E611" s="1" t="s">
        <v>23</v>
      </c>
      <c r="F611" s="1">
        <v>47</v>
      </c>
      <c r="G611" s="1">
        <v>27.98</v>
      </c>
      <c r="H611" s="1">
        <v>1315.06</v>
      </c>
      <c r="I611" s="1">
        <v>1047.56</v>
      </c>
      <c r="J611" s="1">
        <v>267.5</v>
      </c>
      <c r="K611" s="8" t="str">
        <f t="shared" si="9"/>
        <v>May</v>
      </c>
    </row>
    <row r="612" spans="1:11">
      <c r="A612" s="1" t="s">
        <v>636</v>
      </c>
      <c r="B612" s="2">
        <v>46012</v>
      </c>
      <c r="C612" s="1" t="s">
        <v>28</v>
      </c>
      <c r="D612" s="1" t="s">
        <v>29</v>
      </c>
      <c r="E612" s="1" t="s">
        <v>20</v>
      </c>
      <c r="F612" s="1">
        <v>99</v>
      </c>
      <c r="G612" s="1">
        <v>34.44</v>
      </c>
      <c r="H612" s="1">
        <v>3409.56</v>
      </c>
      <c r="I612" s="1">
        <v>2279</v>
      </c>
      <c r="J612" s="1">
        <v>1130.56</v>
      </c>
      <c r="K612" s="8" t="str">
        <f t="shared" si="9"/>
        <v>Dec</v>
      </c>
    </row>
    <row r="613" spans="1:11">
      <c r="A613" s="1" t="s">
        <v>637</v>
      </c>
      <c r="B613" s="2">
        <v>45663</v>
      </c>
      <c r="C613" s="1" t="s">
        <v>28</v>
      </c>
      <c r="D613" s="1" t="s">
        <v>13</v>
      </c>
      <c r="E613" s="1" t="s">
        <v>26</v>
      </c>
      <c r="F613" s="1">
        <v>172</v>
      </c>
      <c r="G613" s="1">
        <v>38.21</v>
      </c>
      <c r="H613" s="1">
        <v>6572.12</v>
      </c>
      <c r="I613" s="1">
        <v>4484.7700000000004</v>
      </c>
      <c r="J613" s="1">
        <v>2087.35</v>
      </c>
      <c r="K613" s="8" t="str">
        <f t="shared" si="9"/>
        <v>Jan</v>
      </c>
    </row>
    <row r="614" spans="1:11">
      <c r="A614" s="1" t="s">
        <v>638</v>
      </c>
      <c r="B614" s="2">
        <v>45783</v>
      </c>
      <c r="C614" s="1" t="s">
        <v>22</v>
      </c>
      <c r="D614" s="1" t="s">
        <v>17</v>
      </c>
      <c r="E614" s="1" t="s">
        <v>20</v>
      </c>
      <c r="F614" s="1">
        <v>85</v>
      </c>
      <c r="G614" s="1">
        <v>32.01</v>
      </c>
      <c r="H614" s="1">
        <v>2720.85</v>
      </c>
      <c r="I614" s="1">
        <v>2001.9</v>
      </c>
      <c r="J614" s="1">
        <v>718.95</v>
      </c>
      <c r="K614" s="8" t="str">
        <f t="shared" si="9"/>
        <v>May</v>
      </c>
    </row>
    <row r="615" spans="1:11">
      <c r="A615" s="1" t="s">
        <v>639</v>
      </c>
      <c r="B615" s="2">
        <v>45762</v>
      </c>
      <c r="C615" s="1" t="s">
        <v>36</v>
      </c>
      <c r="D615" s="1" t="s">
        <v>13</v>
      </c>
      <c r="E615" s="1" t="s">
        <v>26</v>
      </c>
      <c r="F615" s="1">
        <v>111</v>
      </c>
      <c r="G615" s="1">
        <v>37.75</v>
      </c>
      <c r="H615" s="1">
        <v>4190.25</v>
      </c>
      <c r="I615" s="1">
        <v>3089.08</v>
      </c>
      <c r="J615" s="1">
        <v>1101.17</v>
      </c>
      <c r="K615" s="8" t="str">
        <f t="shared" si="9"/>
        <v>Apr</v>
      </c>
    </row>
    <row r="616" spans="1:11">
      <c r="A616" s="1" t="s">
        <v>640</v>
      </c>
      <c r="B616" s="2">
        <v>45903</v>
      </c>
      <c r="C616" s="1" t="s">
        <v>16</v>
      </c>
      <c r="D616" s="1" t="s">
        <v>29</v>
      </c>
      <c r="E616" s="1" t="s">
        <v>33</v>
      </c>
      <c r="F616" s="1">
        <v>29</v>
      </c>
      <c r="G616" s="1">
        <v>24.92</v>
      </c>
      <c r="H616" s="1">
        <v>722.68</v>
      </c>
      <c r="I616" s="1">
        <v>546.24</v>
      </c>
      <c r="J616" s="1">
        <v>176.44</v>
      </c>
      <c r="K616" s="8" t="str">
        <f t="shared" si="9"/>
        <v>Sep</v>
      </c>
    </row>
    <row r="617" spans="1:11">
      <c r="A617" s="1" t="s">
        <v>641</v>
      </c>
      <c r="B617" s="2">
        <v>45690</v>
      </c>
      <c r="C617" s="1" t="s">
        <v>31</v>
      </c>
      <c r="D617" s="1" t="s">
        <v>17</v>
      </c>
      <c r="E617" s="1" t="s">
        <v>26</v>
      </c>
      <c r="F617" s="1">
        <v>111</v>
      </c>
      <c r="G617" s="1">
        <v>36</v>
      </c>
      <c r="H617" s="1">
        <v>3996</v>
      </c>
      <c r="I617" s="1">
        <v>2437.8200000000002</v>
      </c>
      <c r="J617" s="1">
        <v>1558.18</v>
      </c>
      <c r="K617" s="8" t="str">
        <f t="shared" si="9"/>
        <v>Feb</v>
      </c>
    </row>
    <row r="618" spans="1:11">
      <c r="A618" s="1" t="s">
        <v>642</v>
      </c>
      <c r="B618" s="2">
        <v>45991</v>
      </c>
      <c r="C618" s="1" t="s">
        <v>28</v>
      </c>
      <c r="D618" s="1" t="s">
        <v>29</v>
      </c>
      <c r="E618" s="1" t="s">
        <v>33</v>
      </c>
      <c r="F618" s="1">
        <v>188</v>
      </c>
      <c r="G618" s="1">
        <v>27.48</v>
      </c>
      <c r="H618" s="1">
        <v>5166.24</v>
      </c>
      <c r="I618" s="1">
        <v>3929.8</v>
      </c>
      <c r="J618" s="1">
        <v>1236.44</v>
      </c>
      <c r="K618" s="8" t="str">
        <f t="shared" si="9"/>
        <v>Nov</v>
      </c>
    </row>
    <row r="619" spans="1:11">
      <c r="A619" s="1" t="s">
        <v>643</v>
      </c>
      <c r="B619" s="2">
        <v>45912</v>
      </c>
      <c r="C619" s="1" t="s">
        <v>31</v>
      </c>
      <c r="D619" s="1" t="s">
        <v>13</v>
      </c>
      <c r="E619" s="1" t="s">
        <v>33</v>
      </c>
      <c r="F619" s="1">
        <v>79</v>
      </c>
      <c r="G619" s="1">
        <v>17.78</v>
      </c>
      <c r="H619" s="1">
        <v>1404.62</v>
      </c>
      <c r="I619" s="1">
        <v>1037.6400000000001</v>
      </c>
      <c r="J619" s="1">
        <v>366.98</v>
      </c>
      <c r="K619" s="8" t="str">
        <f t="shared" si="9"/>
        <v>Sep</v>
      </c>
    </row>
    <row r="620" spans="1:11">
      <c r="A620" s="1" t="s">
        <v>644</v>
      </c>
      <c r="B620" s="2">
        <v>45896</v>
      </c>
      <c r="C620" s="1" t="s">
        <v>12</v>
      </c>
      <c r="D620" s="1" t="s">
        <v>17</v>
      </c>
      <c r="E620" s="1" t="s">
        <v>33</v>
      </c>
      <c r="F620" s="1">
        <v>94</v>
      </c>
      <c r="G620" s="1">
        <v>23.06</v>
      </c>
      <c r="H620" s="1">
        <v>2167.64</v>
      </c>
      <c r="I620" s="1">
        <v>1658.32</v>
      </c>
      <c r="J620" s="1">
        <v>509.32</v>
      </c>
      <c r="K620" s="8" t="str">
        <f t="shared" si="9"/>
        <v>Aug</v>
      </c>
    </row>
    <row r="621" spans="1:11">
      <c r="A621" s="1" t="s">
        <v>645</v>
      </c>
      <c r="B621" s="2">
        <v>45961</v>
      </c>
      <c r="C621" s="1" t="s">
        <v>16</v>
      </c>
      <c r="D621" s="1" t="s">
        <v>17</v>
      </c>
      <c r="E621" s="1" t="s">
        <v>20</v>
      </c>
      <c r="F621" s="1">
        <v>282</v>
      </c>
      <c r="G621" s="1">
        <v>29.66</v>
      </c>
      <c r="H621" s="1">
        <v>8364.1200000000008</v>
      </c>
      <c r="I621" s="1">
        <v>6076.57</v>
      </c>
      <c r="J621" s="1">
        <v>2287.5500000000002</v>
      </c>
      <c r="K621" s="8" t="str">
        <f t="shared" si="9"/>
        <v>Oct</v>
      </c>
    </row>
    <row r="622" spans="1:11">
      <c r="A622" s="1" t="s">
        <v>646</v>
      </c>
      <c r="B622" s="2">
        <v>45780</v>
      </c>
      <c r="C622" s="1" t="s">
        <v>28</v>
      </c>
      <c r="D622" s="1" t="s">
        <v>29</v>
      </c>
      <c r="E622" s="1" t="s">
        <v>33</v>
      </c>
      <c r="F622" s="1">
        <v>111</v>
      </c>
      <c r="G622" s="1">
        <v>27.63</v>
      </c>
      <c r="H622" s="1">
        <v>3066.93</v>
      </c>
      <c r="I622" s="1">
        <v>2184.64</v>
      </c>
      <c r="J622" s="1">
        <v>882.29</v>
      </c>
      <c r="K622" s="8" t="str">
        <f t="shared" si="9"/>
        <v>May</v>
      </c>
    </row>
    <row r="623" spans="1:11">
      <c r="A623" s="1" t="s">
        <v>647</v>
      </c>
      <c r="B623" s="2">
        <v>46021</v>
      </c>
      <c r="C623" s="1" t="s">
        <v>36</v>
      </c>
      <c r="D623" s="1" t="s">
        <v>29</v>
      </c>
      <c r="E623" s="1" t="s">
        <v>14</v>
      </c>
      <c r="F623" s="1">
        <v>35</v>
      </c>
      <c r="G623" s="1">
        <v>21.76</v>
      </c>
      <c r="H623" s="1">
        <v>761.6</v>
      </c>
      <c r="I623" s="1">
        <v>576.35</v>
      </c>
      <c r="J623" s="1">
        <v>185.25</v>
      </c>
      <c r="K623" s="8" t="str">
        <f t="shared" si="9"/>
        <v>Dec</v>
      </c>
    </row>
    <row r="624" spans="1:11">
      <c r="A624" s="1" t="s">
        <v>648</v>
      </c>
      <c r="B624" s="2">
        <v>45852</v>
      </c>
      <c r="C624" s="1" t="s">
        <v>36</v>
      </c>
      <c r="D624" s="1" t="s">
        <v>17</v>
      </c>
      <c r="E624" s="1" t="s">
        <v>33</v>
      </c>
      <c r="F624" s="1">
        <v>217</v>
      </c>
      <c r="G624" s="1">
        <v>38.44</v>
      </c>
      <c r="H624" s="1">
        <v>8341.48</v>
      </c>
      <c r="I624" s="1">
        <v>5385.84</v>
      </c>
      <c r="J624" s="1">
        <v>2955.64</v>
      </c>
      <c r="K624" s="8" t="str">
        <f t="shared" si="9"/>
        <v>Jul</v>
      </c>
    </row>
    <row r="625" spans="1:11">
      <c r="A625" s="1" t="s">
        <v>649</v>
      </c>
      <c r="B625" s="2">
        <v>45962</v>
      </c>
      <c r="C625" s="1" t="s">
        <v>28</v>
      </c>
      <c r="D625" s="1" t="s">
        <v>29</v>
      </c>
      <c r="E625" s="1" t="s">
        <v>26</v>
      </c>
      <c r="F625" s="1">
        <v>228</v>
      </c>
      <c r="G625" s="1">
        <v>33.79</v>
      </c>
      <c r="H625" s="1">
        <v>7704.12</v>
      </c>
      <c r="I625" s="1">
        <v>4629.3999999999996</v>
      </c>
      <c r="J625" s="1">
        <v>3074.72</v>
      </c>
      <c r="K625" s="8" t="str">
        <f t="shared" si="9"/>
        <v>Nov</v>
      </c>
    </row>
    <row r="626" spans="1:11">
      <c r="A626" s="1" t="s">
        <v>650</v>
      </c>
      <c r="B626" s="2">
        <v>45714</v>
      </c>
      <c r="C626" s="1" t="s">
        <v>28</v>
      </c>
      <c r="D626" s="1" t="s">
        <v>13</v>
      </c>
      <c r="E626" s="1" t="s">
        <v>14</v>
      </c>
      <c r="F626" s="1">
        <v>253</v>
      </c>
      <c r="G626" s="1">
        <v>22.56</v>
      </c>
      <c r="H626" s="1">
        <v>5707.68</v>
      </c>
      <c r="I626" s="1">
        <v>4114.96</v>
      </c>
      <c r="J626" s="1">
        <v>1592.72</v>
      </c>
      <c r="K626" s="8" t="str">
        <f t="shared" si="9"/>
        <v>Feb</v>
      </c>
    </row>
    <row r="627" spans="1:11">
      <c r="A627" s="1" t="s">
        <v>651</v>
      </c>
      <c r="B627" s="2">
        <v>45937</v>
      </c>
      <c r="C627" s="1" t="s">
        <v>28</v>
      </c>
      <c r="D627" s="1" t="s">
        <v>29</v>
      </c>
      <c r="E627" s="1" t="s">
        <v>26</v>
      </c>
      <c r="F627" s="1">
        <v>119</v>
      </c>
      <c r="G627" s="1">
        <v>12.49</v>
      </c>
      <c r="H627" s="1">
        <v>1486.31</v>
      </c>
      <c r="I627" s="1">
        <v>1008.87</v>
      </c>
      <c r="J627" s="1">
        <v>477.44</v>
      </c>
      <c r="K627" s="8" t="str">
        <f t="shared" si="9"/>
        <v>Oct</v>
      </c>
    </row>
    <row r="628" spans="1:11">
      <c r="A628" s="1" t="s">
        <v>652</v>
      </c>
      <c r="B628" s="2">
        <v>45807</v>
      </c>
      <c r="C628" s="1" t="s">
        <v>36</v>
      </c>
      <c r="D628" s="1" t="s">
        <v>17</v>
      </c>
      <c r="E628" s="1" t="s">
        <v>18</v>
      </c>
      <c r="F628" s="1">
        <v>181</v>
      </c>
      <c r="G628" s="1">
        <v>12.64</v>
      </c>
      <c r="H628" s="1">
        <v>2287.84</v>
      </c>
      <c r="I628" s="1">
        <v>1496.71</v>
      </c>
      <c r="J628" s="1">
        <v>791.13</v>
      </c>
      <c r="K628" s="8" t="str">
        <f t="shared" si="9"/>
        <v>May</v>
      </c>
    </row>
    <row r="629" spans="1:11">
      <c r="A629" s="1" t="s">
        <v>653</v>
      </c>
      <c r="B629" s="2">
        <v>45996</v>
      </c>
      <c r="C629" s="1" t="s">
        <v>36</v>
      </c>
      <c r="D629" s="1" t="s">
        <v>29</v>
      </c>
      <c r="E629" s="1" t="s">
        <v>26</v>
      </c>
      <c r="F629" s="1">
        <v>285</v>
      </c>
      <c r="G629" s="1">
        <v>34.21</v>
      </c>
      <c r="H629" s="1">
        <v>9749.85</v>
      </c>
      <c r="I629" s="1">
        <v>6085.29</v>
      </c>
      <c r="J629" s="1">
        <v>3664.56</v>
      </c>
      <c r="K629" s="8" t="str">
        <f t="shared" si="9"/>
        <v>Dec</v>
      </c>
    </row>
    <row r="630" spans="1:11">
      <c r="A630" s="1" t="s">
        <v>654</v>
      </c>
      <c r="B630" s="2">
        <v>45850</v>
      </c>
      <c r="C630" s="1" t="s">
        <v>22</v>
      </c>
      <c r="D630" s="1" t="s">
        <v>17</v>
      </c>
      <c r="E630" s="1" t="s">
        <v>20</v>
      </c>
      <c r="F630" s="1">
        <v>104</v>
      </c>
      <c r="G630" s="1">
        <v>21.69</v>
      </c>
      <c r="H630" s="1">
        <v>2255.7600000000002</v>
      </c>
      <c r="I630" s="1">
        <v>1503.54</v>
      </c>
      <c r="J630" s="1">
        <v>752.22</v>
      </c>
      <c r="K630" s="8" t="str">
        <f t="shared" si="9"/>
        <v>Jul</v>
      </c>
    </row>
    <row r="631" spans="1:11">
      <c r="A631" s="1" t="s">
        <v>655</v>
      </c>
      <c r="B631" s="2">
        <v>45772</v>
      </c>
      <c r="C631" s="1" t="s">
        <v>28</v>
      </c>
      <c r="D631" s="1" t="s">
        <v>17</v>
      </c>
      <c r="E631" s="1" t="s">
        <v>18</v>
      </c>
      <c r="F631" s="1">
        <v>189</v>
      </c>
      <c r="G631" s="1">
        <v>36.700000000000003</v>
      </c>
      <c r="H631" s="1">
        <v>6936.3</v>
      </c>
      <c r="I631" s="1">
        <v>5008.34</v>
      </c>
      <c r="J631" s="1">
        <v>1927.96</v>
      </c>
      <c r="K631" s="8" t="str">
        <f t="shared" si="9"/>
        <v>Apr</v>
      </c>
    </row>
    <row r="632" spans="1:11">
      <c r="A632" s="1" t="s">
        <v>656</v>
      </c>
      <c r="B632" s="2">
        <v>45821</v>
      </c>
      <c r="C632" s="1" t="s">
        <v>22</v>
      </c>
      <c r="D632" s="1" t="s">
        <v>17</v>
      </c>
      <c r="E632" s="1" t="s">
        <v>23</v>
      </c>
      <c r="F632" s="1">
        <v>269</v>
      </c>
      <c r="G632" s="1">
        <v>33.72</v>
      </c>
      <c r="H632" s="1">
        <v>9070.68</v>
      </c>
      <c r="I632" s="1">
        <v>6542.84</v>
      </c>
      <c r="J632" s="1">
        <v>2527.84</v>
      </c>
      <c r="K632" s="8" t="str">
        <f t="shared" si="9"/>
        <v>Jun</v>
      </c>
    </row>
    <row r="633" spans="1:11">
      <c r="A633" s="1" t="s">
        <v>657</v>
      </c>
      <c r="B633" s="2">
        <v>45662</v>
      </c>
      <c r="C633" s="1" t="s">
        <v>22</v>
      </c>
      <c r="D633" s="1" t="s">
        <v>17</v>
      </c>
      <c r="E633" s="1" t="s">
        <v>23</v>
      </c>
      <c r="F633" s="1">
        <v>10</v>
      </c>
      <c r="G633" s="1">
        <v>35.6</v>
      </c>
      <c r="H633" s="1">
        <v>356</v>
      </c>
      <c r="I633" s="1">
        <v>220.99</v>
      </c>
      <c r="J633" s="1">
        <v>135.01</v>
      </c>
      <c r="K633" s="8" t="str">
        <f t="shared" si="9"/>
        <v>Jan</v>
      </c>
    </row>
    <row r="634" spans="1:11">
      <c r="A634" s="1" t="s">
        <v>658</v>
      </c>
      <c r="B634" s="2">
        <v>45994</v>
      </c>
      <c r="C634" s="1" t="s">
        <v>12</v>
      </c>
      <c r="D634" s="1" t="s">
        <v>29</v>
      </c>
      <c r="E634" s="1" t="s">
        <v>23</v>
      </c>
      <c r="F634" s="1">
        <v>138</v>
      </c>
      <c r="G634" s="1">
        <v>32.1</v>
      </c>
      <c r="H634" s="1">
        <v>4429.8</v>
      </c>
      <c r="I634" s="1">
        <v>3257</v>
      </c>
      <c r="J634" s="1">
        <v>1172.8</v>
      </c>
      <c r="K634" s="8" t="str">
        <f t="shared" si="9"/>
        <v>Dec</v>
      </c>
    </row>
    <row r="635" spans="1:11">
      <c r="A635" s="1" t="s">
        <v>659</v>
      </c>
      <c r="B635" s="2">
        <v>45999</v>
      </c>
      <c r="C635" s="1" t="s">
        <v>31</v>
      </c>
      <c r="D635" s="1" t="s">
        <v>29</v>
      </c>
      <c r="E635" s="1" t="s">
        <v>18</v>
      </c>
      <c r="F635" s="1">
        <v>202</v>
      </c>
      <c r="G635" s="1">
        <v>14.05</v>
      </c>
      <c r="H635" s="1">
        <v>2838.1</v>
      </c>
      <c r="I635" s="1">
        <v>2130.46</v>
      </c>
      <c r="J635" s="1">
        <v>707.64</v>
      </c>
      <c r="K635" s="8" t="str">
        <f t="shared" si="9"/>
        <v>Dec</v>
      </c>
    </row>
    <row r="636" spans="1:11">
      <c r="A636" s="1" t="s">
        <v>660</v>
      </c>
      <c r="B636" s="2">
        <v>45696</v>
      </c>
      <c r="C636" s="1" t="s">
        <v>31</v>
      </c>
      <c r="D636" s="1" t="s">
        <v>17</v>
      </c>
      <c r="E636" s="1" t="s">
        <v>14</v>
      </c>
      <c r="F636" s="1">
        <v>273</v>
      </c>
      <c r="G636" s="1">
        <v>28.72</v>
      </c>
      <c r="H636" s="1">
        <v>7840.56</v>
      </c>
      <c r="I636" s="1">
        <v>5400.73</v>
      </c>
      <c r="J636" s="1">
        <v>2439.83</v>
      </c>
      <c r="K636" s="8" t="str">
        <f t="shared" si="9"/>
        <v>Feb</v>
      </c>
    </row>
    <row r="637" spans="1:11">
      <c r="A637" s="1" t="s">
        <v>661</v>
      </c>
      <c r="B637" s="2">
        <v>45996</v>
      </c>
      <c r="C637" s="1" t="s">
        <v>16</v>
      </c>
      <c r="D637" s="1" t="s">
        <v>29</v>
      </c>
      <c r="E637" s="1" t="s">
        <v>18</v>
      </c>
      <c r="F637" s="1">
        <v>202</v>
      </c>
      <c r="G637" s="1">
        <v>38.130000000000003</v>
      </c>
      <c r="H637" s="1">
        <v>7702.26</v>
      </c>
      <c r="I637" s="1">
        <v>5867.08</v>
      </c>
      <c r="J637" s="1">
        <v>1835.18</v>
      </c>
      <c r="K637" s="8" t="str">
        <f t="shared" si="9"/>
        <v>Dec</v>
      </c>
    </row>
    <row r="638" spans="1:11">
      <c r="A638" s="1" t="s">
        <v>662</v>
      </c>
      <c r="B638" s="2">
        <v>45910</v>
      </c>
      <c r="C638" s="1" t="s">
        <v>36</v>
      </c>
      <c r="D638" s="1" t="s">
        <v>13</v>
      </c>
      <c r="E638" s="1" t="s">
        <v>23</v>
      </c>
      <c r="F638" s="1">
        <v>196</v>
      </c>
      <c r="G638" s="1">
        <v>30.75</v>
      </c>
      <c r="H638" s="1">
        <v>6027</v>
      </c>
      <c r="I638" s="1">
        <v>3637.89</v>
      </c>
      <c r="J638" s="1">
        <v>2389.11</v>
      </c>
      <c r="K638" s="8" t="str">
        <f t="shared" si="9"/>
        <v>Sep</v>
      </c>
    </row>
    <row r="639" spans="1:11">
      <c r="A639" s="1" t="s">
        <v>663</v>
      </c>
      <c r="B639" s="2">
        <v>45851</v>
      </c>
      <c r="C639" s="1" t="s">
        <v>22</v>
      </c>
      <c r="D639" s="1" t="s">
        <v>29</v>
      </c>
      <c r="E639" s="1" t="s">
        <v>23</v>
      </c>
      <c r="F639" s="1">
        <v>239</v>
      </c>
      <c r="G639" s="1">
        <v>19.329999999999998</v>
      </c>
      <c r="H639" s="1">
        <v>4619.87</v>
      </c>
      <c r="I639" s="1">
        <v>3245.44</v>
      </c>
      <c r="J639" s="1">
        <v>1374.43</v>
      </c>
      <c r="K639" s="8" t="str">
        <f t="shared" si="9"/>
        <v>Jul</v>
      </c>
    </row>
    <row r="640" spans="1:11">
      <c r="A640" s="1" t="s">
        <v>664</v>
      </c>
      <c r="B640" s="2">
        <v>45892</v>
      </c>
      <c r="C640" s="1" t="s">
        <v>16</v>
      </c>
      <c r="D640" s="1" t="s">
        <v>17</v>
      </c>
      <c r="E640" s="1" t="s">
        <v>20</v>
      </c>
      <c r="F640" s="1">
        <v>27</v>
      </c>
      <c r="G640" s="1">
        <v>38.450000000000003</v>
      </c>
      <c r="H640" s="1">
        <v>1038.1500000000001</v>
      </c>
      <c r="I640" s="1">
        <v>723.07</v>
      </c>
      <c r="J640" s="1">
        <v>315.08</v>
      </c>
      <c r="K640" s="8" t="str">
        <f t="shared" si="9"/>
        <v>Aug</v>
      </c>
    </row>
    <row r="641" spans="1:11">
      <c r="A641" s="1" t="s">
        <v>665</v>
      </c>
      <c r="B641" s="2">
        <v>45754</v>
      </c>
      <c r="C641" s="1" t="s">
        <v>36</v>
      </c>
      <c r="D641" s="1" t="s">
        <v>29</v>
      </c>
      <c r="E641" s="1" t="s">
        <v>33</v>
      </c>
      <c r="F641" s="1">
        <v>270</v>
      </c>
      <c r="G641" s="1">
        <v>11.4</v>
      </c>
      <c r="H641" s="1">
        <v>3078</v>
      </c>
      <c r="I641" s="1">
        <v>2088.25</v>
      </c>
      <c r="J641" s="1">
        <v>989.75</v>
      </c>
      <c r="K641" s="8" t="str">
        <f t="shared" si="9"/>
        <v>Apr</v>
      </c>
    </row>
    <row r="642" spans="1:11">
      <c r="A642" s="1" t="s">
        <v>666</v>
      </c>
      <c r="B642" s="2">
        <v>45801</v>
      </c>
      <c r="C642" s="1" t="s">
        <v>28</v>
      </c>
      <c r="D642" s="1" t="s">
        <v>29</v>
      </c>
      <c r="E642" s="1" t="s">
        <v>18</v>
      </c>
      <c r="F642" s="1">
        <v>133</v>
      </c>
      <c r="G642" s="1">
        <v>18.739999999999998</v>
      </c>
      <c r="H642" s="1">
        <v>2492.42</v>
      </c>
      <c r="I642" s="1">
        <v>1766.77</v>
      </c>
      <c r="J642" s="1">
        <v>725.65</v>
      </c>
      <c r="K642" s="8" t="str">
        <f t="shared" ref="K642:K705" si="10">TEXT(B642,"mmm")</f>
        <v>May</v>
      </c>
    </row>
    <row r="643" spans="1:11">
      <c r="A643" s="1" t="s">
        <v>667</v>
      </c>
      <c r="B643" s="2">
        <v>45990</v>
      </c>
      <c r="C643" s="1" t="s">
        <v>28</v>
      </c>
      <c r="D643" s="1" t="s">
        <v>17</v>
      </c>
      <c r="E643" s="1" t="s">
        <v>33</v>
      </c>
      <c r="F643" s="1">
        <v>53</v>
      </c>
      <c r="G643" s="1">
        <v>34.15</v>
      </c>
      <c r="H643" s="1">
        <v>1809.95</v>
      </c>
      <c r="I643" s="1">
        <v>1330.86</v>
      </c>
      <c r="J643" s="1">
        <v>479.09</v>
      </c>
      <c r="K643" s="8" t="str">
        <f t="shared" si="10"/>
        <v>Nov</v>
      </c>
    </row>
    <row r="644" spans="1:11">
      <c r="A644" s="1" t="s">
        <v>668</v>
      </c>
      <c r="B644" s="2">
        <v>45842</v>
      </c>
      <c r="C644" s="1" t="s">
        <v>28</v>
      </c>
      <c r="D644" s="1" t="s">
        <v>13</v>
      </c>
      <c r="E644" s="1" t="s">
        <v>23</v>
      </c>
      <c r="F644" s="1">
        <v>152</v>
      </c>
      <c r="G644" s="1">
        <v>19.73</v>
      </c>
      <c r="H644" s="1">
        <v>2998.96</v>
      </c>
      <c r="I644" s="1">
        <v>2299.3000000000002</v>
      </c>
      <c r="J644" s="1">
        <v>699.66</v>
      </c>
      <c r="K644" s="8" t="str">
        <f t="shared" si="10"/>
        <v>Jul</v>
      </c>
    </row>
    <row r="645" spans="1:11">
      <c r="A645" s="1" t="s">
        <v>669</v>
      </c>
      <c r="B645" s="2">
        <v>45835</v>
      </c>
      <c r="C645" s="1" t="s">
        <v>16</v>
      </c>
      <c r="D645" s="1" t="s">
        <v>13</v>
      </c>
      <c r="E645" s="1" t="s">
        <v>14</v>
      </c>
      <c r="F645" s="1">
        <v>81</v>
      </c>
      <c r="G645" s="1">
        <v>16.02</v>
      </c>
      <c r="H645" s="1">
        <v>1297.6199999999999</v>
      </c>
      <c r="I645" s="1">
        <v>988.12</v>
      </c>
      <c r="J645" s="1">
        <v>309.5</v>
      </c>
      <c r="K645" s="8" t="str">
        <f t="shared" si="10"/>
        <v>Jun</v>
      </c>
    </row>
    <row r="646" spans="1:11">
      <c r="A646" s="1" t="s">
        <v>670</v>
      </c>
      <c r="B646" s="2">
        <v>45924</v>
      </c>
      <c r="C646" s="1" t="s">
        <v>12</v>
      </c>
      <c r="D646" s="1" t="s">
        <v>17</v>
      </c>
      <c r="E646" s="1" t="s">
        <v>18</v>
      </c>
      <c r="F646" s="1">
        <v>97</v>
      </c>
      <c r="G646" s="1">
        <v>30.44</v>
      </c>
      <c r="H646" s="1">
        <v>2952.68</v>
      </c>
      <c r="I646" s="1">
        <v>2307.5700000000002</v>
      </c>
      <c r="J646" s="1">
        <v>645.11</v>
      </c>
      <c r="K646" s="8" t="str">
        <f t="shared" si="10"/>
        <v>Sep</v>
      </c>
    </row>
    <row r="647" spans="1:11">
      <c r="A647" s="1" t="s">
        <v>671</v>
      </c>
      <c r="B647" s="2">
        <v>45842</v>
      </c>
      <c r="C647" s="1" t="s">
        <v>28</v>
      </c>
      <c r="D647" s="1" t="s">
        <v>13</v>
      </c>
      <c r="E647" s="1" t="s">
        <v>23</v>
      </c>
      <c r="F647" s="1">
        <v>105</v>
      </c>
      <c r="G647" s="1">
        <v>18.170000000000002</v>
      </c>
      <c r="H647" s="1">
        <v>1907.85</v>
      </c>
      <c r="I647" s="1">
        <v>1484.78</v>
      </c>
      <c r="J647" s="1">
        <v>423.07</v>
      </c>
      <c r="K647" s="8" t="str">
        <f t="shared" si="10"/>
        <v>Jul</v>
      </c>
    </row>
    <row r="648" spans="1:11">
      <c r="A648" s="1" t="s">
        <v>672</v>
      </c>
      <c r="B648" s="2">
        <v>45822</v>
      </c>
      <c r="C648" s="1" t="s">
        <v>31</v>
      </c>
      <c r="D648" s="1" t="s">
        <v>17</v>
      </c>
      <c r="E648" s="1" t="s">
        <v>14</v>
      </c>
      <c r="F648" s="1">
        <v>234</v>
      </c>
      <c r="G648" s="1">
        <v>22.09</v>
      </c>
      <c r="H648" s="1">
        <v>5169.0600000000004</v>
      </c>
      <c r="I648" s="1">
        <v>3806.04</v>
      </c>
      <c r="J648" s="1">
        <v>1363.02</v>
      </c>
      <c r="K648" s="8" t="str">
        <f t="shared" si="10"/>
        <v>Jun</v>
      </c>
    </row>
    <row r="649" spans="1:11">
      <c r="A649" s="1" t="s">
        <v>673</v>
      </c>
      <c r="B649" s="2">
        <v>45855</v>
      </c>
      <c r="C649" s="1" t="s">
        <v>12</v>
      </c>
      <c r="D649" s="1" t="s">
        <v>17</v>
      </c>
      <c r="E649" s="1" t="s">
        <v>23</v>
      </c>
      <c r="F649" s="1">
        <v>251</v>
      </c>
      <c r="G649" s="1">
        <v>18.010000000000002</v>
      </c>
      <c r="H649" s="1">
        <v>4520.51</v>
      </c>
      <c r="I649" s="1">
        <v>2896.72</v>
      </c>
      <c r="J649" s="1">
        <v>1623.79</v>
      </c>
      <c r="K649" s="8" t="str">
        <f t="shared" si="10"/>
        <v>Jul</v>
      </c>
    </row>
    <row r="650" spans="1:11">
      <c r="A650" s="1" t="s">
        <v>674</v>
      </c>
      <c r="B650" s="2">
        <v>45867</v>
      </c>
      <c r="C650" s="1" t="s">
        <v>22</v>
      </c>
      <c r="D650" s="1" t="s">
        <v>17</v>
      </c>
      <c r="E650" s="1" t="s">
        <v>23</v>
      </c>
      <c r="F650" s="1">
        <v>91</v>
      </c>
      <c r="G650" s="1">
        <v>33.36</v>
      </c>
      <c r="H650" s="1">
        <v>3035.76</v>
      </c>
      <c r="I650" s="1">
        <v>2012.56</v>
      </c>
      <c r="J650" s="1">
        <v>1023.2</v>
      </c>
      <c r="K650" s="8" t="str">
        <f t="shared" si="10"/>
        <v>Jul</v>
      </c>
    </row>
    <row r="651" spans="1:11">
      <c r="A651" s="1" t="s">
        <v>675</v>
      </c>
      <c r="B651" s="2">
        <v>45898</v>
      </c>
      <c r="C651" s="1" t="s">
        <v>16</v>
      </c>
      <c r="D651" s="1" t="s">
        <v>17</v>
      </c>
      <c r="E651" s="1" t="s">
        <v>18</v>
      </c>
      <c r="F651" s="1">
        <v>296</v>
      </c>
      <c r="G651" s="1">
        <v>35.44</v>
      </c>
      <c r="H651" s="1">
        <v>10490.24</v>
      </c>
      <c r="I651" s="1">
        <v>7157.96</v>
      </c>
      <c r="J651" s="1">
        <v>3332.28</v>
      </c>
      <c r="K651" s="8" t="str">
        <f t="shared" si="10"/>
        <v>Aug</v>
      </c>
    </row>
    <row r="652" spans="1:11">
      <c r="A652" s="1" t="s">
        <v>676</v>
      </c>
      <c r="B652" s="2">
        <v>45843</v>
      </c>
      <c r="C652" s="1" t="s">
        <v>36</v>
      </c>
      <c r="D652" s="1" t="s">
        <v>13</v>
      </c>
      <c r="E652" s="1" t="s">
        <v>14</v>
      </c>
      <c r="F652" s="1">
        <v>212</v>
      </c>
      <c r="G652" s="1">
        <v>25.88</v>
      </c>
      <c r="H652" s="1">
        <v>5486.56</v>
      </c>
      <c r="I652" s="1">
        <v>3608.37</v>
      </c>
      <c r="J652" s="1">
        <v>1878.19</v>
      </c>
      <c r="K652" s="8" t="str">
        <f t="shared" si="10"/>
        <v>Jul</v>
      </c>
    </row>
    <row r="653" spans="1:11">
      <c r="A653" s="1" t="s">
        <v>677</v>
      </c>
      <c r="B653" s="2">
        <v>45888</v>
      </c>
      <c r="C653" s="1" t="s">
        <v>12</v>
      </c>
      <c r="D653" s="1" t="s">
        <v>17</v>
      </c>
      <c r="E653" s="1" t="s">
        <v>14</v>
      </c>
      <c r="F653" s="1">
        <v>16</v>
      </c>
      <c r="G653" s="1">
        <v>11.24</v>
      </c>
      <c r="H653" s="1">
        <v>179.84</v>
      </c>
      <c r="I653" s="1">
        <v>137.63999999999999</v>
      </c>
      <c r="J653" s="1">
        <v>42.2</v>
      </c>
      <c r="K653" s="8" t="str">
        <f t="shared" si="10"/>
        <v>Aug</v>
      </c>
    </row>
    <row r="654" spans="1:11">
      <c r="A654" s="1" t="s">
        <v>678</v>
      </c>
      <c r="B654" s="2">
        <v>45966</v>
      </c>
      <c r="C654" s="1" t="s">
        <v>16</v>
      </c>
      <c r="D654" s="1" t="s">
        <v>29</v>
      </c>
      <c r="E654" s="1" t="s">
        <v>26</v>
      </c>
      <c r="F654" s="1">
        <v>194</v>
      </c>
      <c r="G654" s="1">
        <v>17.97</v>
      </c>
      <c r="H654" s="1">
        <v>3486.18</v>
      </c>
      <c r="I654" s="1">
        <v>2261.4</v>
      </c>
      <c r="J654" s="1">
        <v>1224.78</v>
      </c>
      <c r="K654" s="8" t="str">
        <f t="shared" si="10"/>
        <v>Nov</v>
      </c>
    </row>
    <row r="655" spans="1:11">
      <c r="A655" s="1" t="s">
        <v>679</v>
      </c>
      <c r="B655" s="2">
        <v>45966</v>
      </c>
      <c r="C655" s="1" t="s">
        <v>31</v>
      </c>
      <c r="D655" s="1" t="s">
        <v>13</v>
      </c>
      <c r="E655" s="1" t="s">
        <v>33</v>
      </c>
      <c r="F655" s="1">
        <v>221</v>
      </c>
      <c r="G655" s="1">
        <v>35.03</v>
      </c>
      <c r="H655" s="1">
        <v>7741.63</v>
      </c>
      <c r="I655" s="1">
        <v>5747.06</v>
      </c>
      <c r="J655" s="1">
        <v>1994.57</v>
      </c>
      <c r="K655" s="8" t="str">
        <f t="shared" si="10"/>
        <v>Nov</v>
      </c>
    </row>
    <row r="656" spans="1:11">
      <c r="A656" s="1" t="s">
        <v>680</v>
      </c>
      <c r="B656" s="2">
        <v>45748</v>
      </c>
      <c r="C656" s="1" t="s">
        <v>36</v>
      </c>
      <c r="D656" s="1" t="s">
        <v>17</v>
      </c>
      <c r="E656" s="1" t="s">
        <v>18</v>
      </c>
      <c r="F656" s="1">
        <v>70</v>
      </c>
      <c r="G656" s="1">
        <v>33.24</v>
      </c>
      <c r="H656" s="1">
        <v>2326.8000000000002</v>
      </c>
      <c r="I656" s="1">
        <v>1579.66</v>
      </c>
      <c r="J656" s="1">
        <v>747.14</v>
      </c>
      <c r="K656" s="8" t="str">
        <f t="shared" si="10"/>
        <v>Apr</v>
      </c>
    </row>
    <row r="657" spans="1:11">
      <c r="A657" s="1" t="s">
        <v>681</v>
      </c>
      <c r="B657" s="2">
        <v>45858</v>
      </c>
      <c r="C657" s="1" t="s">
        <v>22</v>
      </c>
      <c r="D657" s="1" t="s">
        <v>29</v>
      </c>
      <c r="E657" s="1" t="s">
        <v>20</v>
      </c>
      <c r="F657" s="1">
        <v>265</v>
      </c>
      <c r="G657" s="1">
        <v>34.17</v>
      </c>
      <c r="H657" s="1">
        <v>9055.0499999999993</v>
      </c>
      <c r="I657" s="1">
        <v>6066.38</v>
      </c>
      <c r="J657" s="1">
        <v>2988.67</v>
      </c>
      <c r="K657" s="8" t="str">
        <f t="shared" si="10"/>
        <v>Jul</v>
      </c>
    </row>
    <row r="658" spans="1:11">
      <c r="A658" s="1" t="s">
        <v>682</v>
      </c>
      <c r="B658" s="2">
        <v>45930</v>
      </c>
      <c r="C658" s="1" t="s">
        <v>31</v>
      </c>
      <c r="D658" s="1" t="s">
        <v>13</v>
      </c>
      <c r="E658" s="1" t="s">
        <v>20</v>
      </c>
      <c r="F658" s="1">
        <v>276</v>
      </c>
      <c r="G658" s="1">
        <v>22.41</v>
      </c>
      <c r="H658" s="1">
        <v>6185.16</v>
      </c>
      <c r="I658" s="1">
        <v>4858.1400000000003</v>
      </c>
      <c r="J658" s="1">
        <v>1327.02</v>
      </c>
      <c r="K658" s="8" t="str">
        <f t="shared" si="10"/>
        <v>Sep</v>
      </c>
    </row>
    <row r="659" spans="1:11">
      <c r="A659" s="1" t="s">
        <v>683</v>
      </c>
      <c r="B659" s="2">
        <v>45831</v>
      </c>
      <c r="C659" s="1" t="s">
        <v>16</v>
      </c>
      <c r="D659" s="1" t="s">
        <v>29</v>
      </c>
      <c r="E659" s="1" t="s">
        <v>33</v>
      </c>
      <c r="F659" s="1">
        <v>43</v>
      </c>
      <c r="G659" s="1">
        <v>37.74</v>
      </c>
      <c r="H659" s="1">
        <v>1622.82</v>
      </c>
      <c r="I659" s="1">
        <v>995.37</v>
      </c>
      <c r="J659" s="1">
        <v>627.45000000000005</v>
      </c>
      <c r="K659" s="8" t="str">
        <f t="shared" si="10"/>
        <v>Jun</v>
      </c>
    </row>
    <row r="660" spans="1:11">
      <c r="A660" s="1" t="s">
        <v>684</v>
      </c>
      <c r="B660" s="2">
        <v>45778</v>
      </c>
      <c r="C660" s="1" t="s">
        <v>31</v>
      </c>
      <c r="D660" s="1" t="s">
        <v>29</v>
      </c>
      <c r="E660" s="1" t="s">
        <v>20</v>
      </c>
      <c r="F660" s="1">
        <v>231</v>
      </c>
      <c r="G660" s="1">
        <v>22.11</v>
      </c>
      <c r="H660" s="1">
        <v>5107.41</v>
      </c>
      <c r="I660" s="1">
        <v>3650.49</v>
      </c>
      <c r="J660" s="1">
        <v>1456.92</v>
      </c>
      <c r="K660" s="8" t="str">
        <f t="shared" si="10"/>
        <v>May</v>
      </c>
    </row>
    <row r="661" spans="1:11">
      <c r="A661" s="1" t="s">
        <v>685</v>
      </c>
      <c r="B661" s="2">
        <v>45735</v>
      </c>
      <c r="C661" s="1" t="s">
        <v>12</v>
      </c>
      <c r="D661" s="1" t="s">
        <v>13</v>
      </c>
      <c r="E661" s="1" t="s">
        <v>14</v>
      </c>
      <c r="F661" s="1">
        <v>123</v>
      </c>
      <c r="G661" s="1">
        <v>30.15</v>
      </c>
      <c r="H661" s="1">
        <v>3708.45</v>
      </c>
      <c r="I661" s="1">
        <v>2784.39</v>
      </c>
      <c r="J661" s="1">
        <v>924.06</v>
      </c>
      <c r="K661" s="8" t="str">
        <f t="shared" si="10"/>
        <v>Mar</v>
      </c>
    </row>
    <row r="662" spans="1:11">
      <c r="A662" s="1" t="s">
        <v>686</v>
      </c>
      <c r="B662" s="2">
        <v>45675</v>
      </c>
      <c r="C662" s="1" t="s">
        <v>36</v>
      </c>
      <c r="D662" s="1" t="s">
        <v>29</v>
      </c>
      <c r="E662" s="1" t="s">
        <v>18</v>
      </c>
      <c r="F662" s="1">
        <v>205</v>
      </c>
      <c r="G662" s="1">
        <v>36.36</v>
      </c>
      <c r="H662" s="1">
        <v>7453.8</v>
      </c>
      <c r="I662" s="1">
        <v>4667.99</v>
      </c>
      <c r="J662" s="1">
        <v>2785.81</v>
      </c>
      <c r="K662" s="8" t="str">
        <f t="shared" si="10"/>
        <v>Jan</v>
      </c>
    </row>
    <row r="663" spans="1:11">
      <c r="A663" s="1" t="s">
        <v>687</v>
      </c>
      <c r="B663" s="2">
        <v>45971</v>
      </c>
      <c r="C663" s="1" t="s">
        <v>12</v>
      </c>
      <c r="D663" s="1" t="s">
        <v>29</v>
      </c>
      <c r="E663" s="1" t="s">
        <v>14</v>
      </c>
      <c r="F663" s="1">
        <v>150</v>
      </c>
      <c r="G663" s="1">
        <v>31.36</v>
      </c>
      <c r="H663" s="1">
        <v>4704</v>
      </c>
      <c r="I663" s="1">
        <v>3548.25</v>
      </c>
      <c r="J663" s="1">
        <v>1155.75</v>
      </c>
      <c r="K663" s="8" t="str">
        <f t="shared" si="10"/>
        <v>Nov</v>
      </c>
    </row>
    <row r="664" spans="1:11">
      <c r="A664" s="1" t="s">
        <v>688</v>
      </c>
      <c r="B664" s="2">
        <v>45969</v>
      </c>
      <c r="C664" s="1" t="s">
        <v>31</v>
      </c>
      <c r="D664" s="1" t="s">
        <v>29</v>
      </c>
      <c r="E664" s="1" t="s">
        <v>23</v>
      </c>
      <c r="F664" s="1">
        <v>119</v>
      </c>
      <c r="G664" s="1">
        <v>37.119999999999997</v>
      </c>
      <c r="H664" s="1">
        <v>4417.28</v>
      </c>
      <c r="I664" s="1">
        <v>2923.58</v>
      </c>
      <c r="J664" s="1">
        <v>1493.7</v>
      </c>
      <c r="K664" s="8" t="str">
        <f t="shared" si="10"/>
        <v>Nov</v>
      </c>
    </row>
    <row r="665" spans="1:11">
      <c r="A665" s="1" t="s">
        <v>689</v>
      </c>
      <c r="B665" s="2">
        <v>45698</v>
      </c>
      <c r="C665" s="1" t="s">
        <v>16</v>
      </c>
      <c r="D665" s="1" t="s">
        <v>17</v>
      </c>
      <c r="E665" s="1" t="s">
        <v>20</v>
      </c>
      <c r="F665" s="1">
        <v>194</v>
      </c>
      <c r="G665" s="1">
        <v>10.7</v>
      </c>
      <c r="H665" s="1">
        <v>2075.8000000000002</v>
      </c>
      <c r="I665" s="1">
        <v>1460.23</v>
      </c>
      <c r="J665" s="1">
        <v>615.57000000000005</v>
      </c>
      <c r="K665" s="8" t="str">
        <f t="shared" si="10"/>
        <v>Feb</v>
      </c>
    </row>
    <row r="666" spans="1:11">
      <c r="A666" s="1" t="s">
        <v>690</v>
      </c>
      <c r="B666" s="2">
        <v>45659</v>
      </c>
      <c r="C666" s="1" t="s">
        <v>31</v>
      </c>
      <c r="D666" s="1" t="s">
        <v>29</v>
      </c>
      <c r="E666" s="1" t="s">
        <v>26</v>
      </c>
      <c r="F666" s="1">
        <v>244</v>
      </c>
      <c r="G666" s="1">
        <v>28.88</v>
      </c>
      <c r="H666" s="1">
        <v>7046.72</v>
      </c>
      <c r="I666" s="1">
        <v>4423.59</v>
      </c>
      <c r="J666" s="1">
        <v>2623.13</v>
      </c>
      <c r="K666" s="8" t="str">
        <f t="shared" si="10"/>
        <v>Jan</v>
      </c>
    </row>
    <row r="667" spans="1:11">
      <c r="A667" s="1" t="s">
        <v>691</v>
      </c>
      <c r="B667" s="2">
        <v>45886</v>
      </c>
      <c r="C667" s="1" t="s">
        <v>12</v>
      </c>
      <c r="D667" s="1" t="s">
        <v>17</v>
      </c>
      <c r="E667" s="1" t="s">
        <v>26</v>
      </c>
      <c r="F667" s="1">
        <v>294</v>
      </c>
      <c r="G667" s="1">
        <v>27.87</v>
      </c>
      <c r="H667" s="1">
        <v>8193.7800000000007</v>
      </c>
      <c r="I667" s="1">
        <v>4969.1400000000003</v>
      </c>
      <c r="J667" s="1">
        <v>3224.64</v>
      </c>
      <c r="K667" s="8" t="str">
        <f t="shared" si="10"/>
        <v>Aug</v>
      </c>
    </row>
    <row r="668" spans="1:11">
      <c r="A668" s="1" t="s">
        <v>692</v>
      </c>
      <c r="B668" s="2">
        <v>45905</v>
      </c>
      <c r="C668" s="1" t="s">
        <v>31</v>
      </c>
      <c r="D668" s="1" t="s">
        <v>29</v>
      </c>
      <c r="E668" s="1" t="s">
        <v>23</v>
      </c>
      <c r="F668" s="1">
        <v>124</v>
      </c>
      <c r="G668" s="1">
        <v>18.82</v>
      </c>
      <c r="H668" s="1">
        <v>2333.6799999999998</v>
      </c>
      <c r="I668" s="1">
        <v>1837.2</v>
      </c>
      <c r="J668" s="1">
        <v>496.48</v>
      </c>
      <c r="K668" s="8" t="str">
        <f t="shared" si="10"/>
        <v>Sep</v>
      </c>
    </row>
    <row r="669" spans="1:11">
      <c r="A669" s="1" t="s">
        <v>693</v>
      </c>
      <c r="B669" s="2">
        <v>45775</v>
      </c>
      <c r="C669" s="1" t="s">
        <v>31</v>
      </c>
      <c r="D669" s="1" t="s">
        <v>29</v>
      </c>
      <c r="E669" s="1" t="s">
        <v>23</v>
      </c>
      <c r="F669" s="1">
        <v>121</v>
      </c>
      <c r="G669" s="1">
        <v>26.7</v>
      </c>
      <c r="H669" s="1">
        <v>3230.7</v>
      </c>
      <c r="I669" s="1">
        <v>2468.56</v>
      </c>
      <c r="J669" s="1">
        <v>762.14</v>
      </c>
      <c r="K669" s="8" t="str">
        <f t="shared" si="10"/>
        <v>Apr</v>
      </c>
    </row>
    <row r="670" spans="1:11">
      <c r="A670" s="1" t="s">
        <v>694</v>
      </c>
      <c r="B670" s="2">
        <v>45673</v>
      </c>
      <c r="C670" s="1" t="s">
        <v>12</v>
      </c>
      <c r="D670" s="1" t="s">
        <v>17</v>
      </c>
      <c r="E670" s="1" t="s">
        <v>18</v>
      </c>
      <c r="F670" s="1">
        <v>124</v>
      </c>
      <c r="G670" s="1">
        <v>33.340000000000003</v>
      </c>
      <c r="H670" s="1">
        <v>4134.16</v>
      </c>
      <c r="I670" s="1">
        <v>2503.96</v>
      </c>
      <c r="J670" s="1">
        <v>1630.2</v>
      </c>
      <c r="K670" s="8" t="str">
        <f t="shared" si="10"/>
        <v>Jan</v>
      </c>
    </row>
    <row r="671" spans="1:11">
      <c r="A671" s="1" t="s">
        <v>695</v>
      </c>
      <c r="B671" s="2">
        <v>45849</v>
      </c>
      <c r="C671" s="1" t="s">
        <v>16</v>
      </c>
      <c r="D671" s="1" t="s">
        <v>29</v>
      </c>
      <c r="E671" s="1" t="s">
        <v>26</v>
      </c>
      <c r="F671" s="1">
        <v>42</v>
      </c>
      <c r="G671" s="1">
        <v>38.64</v>
      </c>
      <c r="H671" s="1">
        <v>1622.88</v>
      </c>
      <c r="I671" s="1">
        <v>1062.58</v>
      </c>
      <c r="J671" s="1">
        <v>560.29999999999995</v>
      </c>
      <c r="K671" s="8" t="str">
        <f t="shared" si="10"/>
        <v>Jul</v>
      </c>
    </row>
    <row r="672" spans="1:11">
      <c r="A672" s="1" t="s">
        <v>696</v>
      </c>
      <c r="B672" s="2">
        <v>45862</v>
      </c>
      <c r="C672" s="1" t="s">
        <v>22</v>
      </c>
      <c r="D672" s="1" t="s">
        <v>29</v>
      </c>
      <c r="E672" s="1" t="s">
        <v>26</v>
      </c>
      <c r="F672" s="1">
        <v>209</v>
      </c>
      <c r="G672" s="1">
        <v>25.36</v>
      </c>
      <c r="H672" s="1">
        <v>5300.24</v>
      </c>
      <c r="I672" s="1">
        <v>3804.25</v>
      </c>
      <c r="J672" s="1">
        <v>1495.99</v>
      </c>
      <c r="K672" s="8" t="str">
        <f t="shared" si="10"/>
        <v>Jul</v>
      </c>
    </row>
    <row r="673" spans="1:11">
      <c r="A673" s="1" t="s">
        <v>697</v>
      </c>
      <c r="B673" s="2">
        <v>45848</v>
      </c>
      <c r="C673" s="1" t="s">
        <v>16</v>
      </c>
      <c r="D673" s="1" t="s">
        <v>29</v>
      </c>
      <c r="E673" s="1" t="s">
        <v>18</v>
      </c>
      <c r="F673" s="1">
        <v>282</v>
      </c>
      <c r="G673" s="1">
        <v>19.88</v>
      </c>
      <c r="H673" s="1">
        <v>5606.16</v>
      </c>
      <c r="I673" s="1">
        <v>4469.51</v>
      </c>
      <c r="J673" s="1">
        <v>1136.6500000000001</v>
      </c>
      <c r="K673" s="8" t="str">
        <f t="shared" si="10"/>
        <v>Jul</v>
      </c>
    </row>
    <row r="674" spans="1:11">
      <c r="A674" s="1" t="s">
        <v>698</v>
      </c>
      <c r="B674" s="2">
        <v>45952</v>
      </c>
      <c r="C674" s="1" t="s">
        <v>36</v>
      </c>
      <c r="D674" s="1" t="s">
        <v>29</v>
      </c>
      <c r="E674" s="1" t="s">
        <v>18</v>
      </c>
      <c r="F674" s="1">
        <v>78</v>
      </c>
      <c r="G674" s="1">
        <v>22.94</v>
      </c>
      <c r="H674" s="1">
        <v>1789.32</v>
      </c>
      <c r="I674" s="1">
        <v>1420.43</v>
      </c>
      <c r="J674" s="1">
        <v>368.89</v>
      </c>
      <c r="K674" s="8" t="str">
        <f t="shared" si="10"/>
        <v>Oct</v>
      </c>
    </row>
    <row r="675" spans="1:11">
      <c r="A675" s="1" t="s">
        <v>699</v>
      </c>
      <c r="B675" s="2">
        <v>45755</v>
      </c>
      <c r="C675" s="1" t="s">
        <v>22</v>
      </c>
      <c r="D675" s="1" t="s">
        <v>17</v>
      </c>
      <c r="E675" s="1" t="s">
        <v>20</v>
      </c>
      <c r="F675" s="1">
        <v>184</v>
      </c>
      <c r="G675" s="1">
        <v>28.47</v>
      </c>
      <c r="H675" s="1">
        <v>5238.4799999999996</v>
      </c>
      <c r="I675" s="1">
        <v>3260.31</v>
      </c>
      <c r="J675" s="1">
        <v>1978.17</v>
      </c>
      <c r="K675" s="8" t="str">
        <f t="shared" si="10"/>
        <v>Apr</v>
      </c>
    </row>
    <row r="676" spans="1:11">
      <c r="A676" s="1" t="s">
        <v>700</v>
      </c>
      <c r="B676" s="2">
        <v>45697</v>
      </c>
      <c r="C676" s="1" t="s">
        <v>36</v>
      </c>
      <c r="D676" s="1" t="s">
        <v>29</v>
      </c>
      <c r="E676" s="1" t="s">
        <v>20</v>
      </c>
      <c r="F676" s="1">
        <v>274</v>
      </c>
      <c r="G676" s="1">
        <v>10.5</v>
      </c>
      <c r="H676" s="1">
        <v>2877</v>
      </c>
      <c r="I676" s="1">
        <v>2173.5300000000002</v>
      </c>
      <c r="J676" s="1">
        <v>703.47</v>
      </c>
      <c r="K676" s="8" t="str">
        <f t="shared" si="10"/>
        <v>Feb</v>
      </c>
    </row>
    <row r="677" spans="1:11">
      <c r="A677" s="1" t="s">
        <v>701</v>
      </c>
      <c r="B677" s="2">
        <v>45793</v>
      </c>
      <c r="C677" s="1" t="s">
        <v>31</v>
      </c>
      <c r="D677" s="1" t="s">
        <v>29</v>
      </c>
      <c r="E677" s="1" t="s">
        <v>26</v>
      </c>
      <c r="F677" s="1">
        <v>113</v>
      </c>
      <c r="G677" s="1">
        <v>26.81</v>
      </c>
      <c r="H677" s="1">
        <v>3029.53</v>
      </c>
      <c r="I677" s="1">
        <v>2242.6</v>
      </c>
      <c r="J677" s="1">
        <v>786.93</v>
      </c>
      <c r="K677" s="8" t="str">
        <f t="shared" si="10"/>
        <v>May</v>
      </c>
    </row>
    <row r="678" spans="1:11">
      <c r="A678" s="1" t="s">
        <v>702</v>
      </c>
      <c r="B678" s="2">
        <v>45971</v>
      </c>
      <c r="C678" s="1" t="s">
        <v>16</v>
      </c>
      <c r="D678" s="1" t="s">
        <v>29</v>
      </c>
      <c r="E678" s="1" t="s">
        <v>33</v>
      </c>
      <c r="F678" s="1">
        <v>18</v>
      </c>
      <c r="G678" s="1">
        <v>11.88</v>
      </c>
      <c r="H678" s="1">
        <v>213.84</v>
      </c>
      <c r="I678" s="1">
        <v>137.1</v>
      </c>
      <c r="J678" s="1">
        <v>76.739999999999995</v>
      </c>
      <c r="K678" s="8" t="str">
        <f t="shared" si="10"/>
        <v>Nov</v>
      </c>
    </row>
    <row r="679" spans="1:11">
      <c r="A679" s="1" t="s">
        <v>703</v>
      </c>
      <c r="B679" s="2">
        <v>45980</v>
      </c>
      <c r="C679" s="1" t="s">
        <v>22</v>
      </c>
      <c r="D679" s="1" t="s">
        <v>29</v>
      </c>
      <c r="E679" s="1" t="s">
        <v>33</v>
      </c>
      <c r="F679" s="1">
        <v>285</v>
      </c>
      <c r="G679" s="1">
        <v>17.91</v>
      </c>
      <c r="H679" s="1">
        <v>5104.3500000000004</v>
      </c>
      <c r="I679" s="1">
        <v>3425.41</v>
      </c>
      <c r="J679" s="1">
        <v>1678.94</v>
      </c>
      <c r="K679" s="8" t="str">
        <f t="shared" si="10"/>
        <v>Nov</v>
      </c>
    </row>
    <row r="680" spans="1:11">
      <c r="A680" s="1" t="s">
        <v>704</v>
      </c>
      <c r="B680" s="2">
        <v>45819</v>
      </c>
      <c r="C680" s="1" t="s">
        <v>22</v>
      </c>
      <c r="D680" s="1" t="s">
        <v>29</v>
      </c>
      <c r="E680" s="1" t="s">
        <v>14</v>
      </c>
      <c r="F680" s="1">
        <v>191</v>
      </c>
      <c r="G680" s="1">
        <v>19.170000000000002</v>
      </c>
      <c r="H680" s="1">
        <v>3661.47</v>
      </c>
      <c r="I680" s="1">
        <v>2229.2800000000002</v>
      </c>
      <c r="J680" s="1">
        <v>1432.19</v>
      </c>
      <c r="K680" s="8" t="str">
        <f t="shared" si="10"/>
        <v>Jun</v>
      </c>
    </row>
    <row r="681" spans="1:11">
      <c r="A681" s="1" t="s">
        <v>705</v>
      </c>
      <c r="B681" s="2">
        <v>45873</v>
      </c>
      <c r="C681" s="1" t="s">
        <v>16</v>
      </c>
      <c r="D681" s="1" t="s">
        <v>17</v>
      </c>
      <c r="E681" s="1" t="s">
        <v>26</v>
      </c>
      <c r="F681" s="1">
        <v>25</v>
      </c>
      <c r="G681" s="1">
        <v>34.130000000000003</v>
      </c>
      <c r="H681" s="1">
        <v>853.25</v>
      </c>
      <c r="I681" s="1">
        <v>589.61</v>
      </c>
      <c r="J681" s="1">
        <v>263.64</v>
      </c>
      <c r="K681" s="8" t="str">
        <f t="shared" si="10"/>
        <v>Aug</v>
      </c>
    </row>
    <row r="682" spans="1:11">
      <c r="A682" s="1" t="s">
        <v>706</v>
      </c>
      <c r="B682" s="2">
        <v>45736</v>
      </c>
      <c r="C682" s="1" t="s">
        <v>16</v>
      </c>
      <c r="D682" s="1" t="s">
        <v>17</v>
      </c>
      <c r="E682" s="1" t="s">
        <v>14</v>
      </c>
      <c r="F682" s="1">
        <v>196</v>
      </c>
      <c r="G682" s="1">
        <v>33.32</v>
      </c>
      <c r="H682" s="1">
        <v>6530.72</v>
      </c>
      <c r="I682" s="1">
        <v>4533.97</v>
      </c>
      <c r="J682" s="1">
        <v>1996.75</v>
      </c>
      <c r="K682" s="8" t="str">
        <f t="shared" si="10"/>
        <v>Mar</v>
      </c>
    </row>
    <row r="683" spans="1:11">
      <c r="A683" s="1" t="s">
        <v>707</v>
      </c>
      <c r="B683" s="2">
        <v>45901</v>
      </c>
      <c r="C683" s="1" t="s">
        <v>31</v>
      </c>
      <c r="D683" s="1" t="s">
        <v>29</v>
      </c>
      <c r="E683" s="1" t="s">
        <v>18</v>
      </c>
      <c r="F683" s="1">
        <v>75</v>
      </c>
      <c r="G683" s="1">
        <v>35.5</v>
      </c>
      <c r="H683" s="1">
        <v>2662.5</v>
      </c>
      <c r="I683" s="1">
        <v>1878.82</v>
      </c>
      <c r="J683" s="1">
        <v>783.68</v>
      </c>
      <c r="K683" s="8" t="str">
        <f t="shared" si="10"/>
        <v>Sep</v>
      </c>
    </row>
    <row r="684" spans="1:11">
      <c r="A684" s="1" t="s">
        <v>708</v>
      </c>
      <c r="B684" s="2">
        <v>45765</v>
      </c>
      <c r="C684" s="1" t="s">
        <v>22</v>
      </c>
      <c r="D684" s="1" t="s">
        <v>29</v>
      </c>
      <c r="E684" s="1" t="s">
        <v>14</v>
      </c>
      <c r="F684" s="1">
        <v>191</v>
      </c>
      <c r="G684" s="1">
        <v>17.559999999999999</v>
      </c>
      <c r="H684" s="1">
        <v>3353.96</v>
      </c>
      <c r="I684" s="1">
        <v>2026.61</v>
      </c>
      <c r="J684" s="1">
        <v>1327.35</v>
      </c>
      <c r="K684" s="8" t="str">
        <f t="shared" si="10"/>
        <v>Apr</v>
      </c>
    </row>
    <row r="685" spans="1:11">
      <c r="A685" s="1" t="s">
        <v>709</v>
      </c>
      <c r="B685" s="2">
        <v>45923</v>
      </c>
      <c r="C685" s="1" t="s">
        <v>22</v>
      </c>
      <c r="D685" s="1" t="s">
        <v>17</v>
      </c>
      <c r="E685" s="1" t="s">
        <v>20</v>
      </c>
      <c r="F685" s="1">
        <v>233</v>
      </c>
      <c r="G685" s="1">
        <v>33.229999999999997</v>
      </c>
      <c r="H685" s="1">
        <v>7742.59</v>
      </c>
      <c r="I685" s="1">
        <v>5769.36</v>
      </c>
      <c r="J685" s="1">
        <v>1973.23</v>
      </c>
      <c r="K685" s="8" t="str">
        <f t="shared" si="10"/>
        <v>Sep</v>
      </c>
    </row>
    <row r="686" spans="1:11">
      <c r="A686" s="1" t="s">
        <v>710</v>
      </c>
      <c r="B686" s="2">
        <v>45728</v>
      </c>
      <c r="C686" s="1" t="s">
        <v>12</v>
      </c>
      <c r="D686" s="1" t="s">
        <v>17</v>
      </c>
      <c r="E686" s="1" t="s">
        <v>26</v>
      </c>
      <c r="F686" s="1">
        <v>16</v>
      </c>
      <c r="G686" s="1">
        <v>13.33</v>
      </c>
      <c r="H686" s="1">
        <v>213.28</v>
      </c>
      <c r="I686" s="1">
        <v>159.02000000000001</v>
      </c>
      <c r="J686" s="1">
        <v>54.26</v>
      </c>
      <c r="K686" s="8" t="str">
        <f t="shared" si="10"/>
        <v>Mar</v>
      </c>
    </row>
    <row r="687" spans="1:11">
      <c r="A687" s="1" t="s">
        <v>711</v>
      </c>
      <c r="B687" s="2">
        <v>45662</v>
      </c>
      <c r="C687" s="1" t="s">
        <v>12</v>
      </c>
      <c r="D687" s="1" t="s">
        <v>29</v>
      </c>
      <c r="E687" s="1" t="s">
        <v>26</v>
      </c>
      <c r="F687" s="1">
        <v>54</v>
      </c>
      <c r="G687" s="1">
        <v>23.91</v>
      </c>
      <c r="H687" s="1">
        <v>1291.1400000000001</v>
      </c>
      <c r="I687" s="1">
        <v>785.85</v>
      </c>
      <c r="J687" s="1">
        <v>505.29</v>
      </c>
      <c r="K687" s="8" t="str">
        <f t="shared" si="10"/>
        <v>Jan</v>
      </c>
    </row>
    <row r="688" spans="1:11">
      <c r="A688" s="1" t="s">
        <v>712</v>
      </c>
      <c r="B688" s="2">
        <v>45823</v>
      </c>
      <c r="C688" s="1" t="s">
        <v>28</v>
      </c>
      <c r="D688" s="1" t="s">
        <v>29</v>
      </c>
      <c r="E688" s="1" t="s">
        <v>20</v>
      </c>
      <c r="F688" s="1">
        <v>183</v>
      </c>
      <c r="G688" s="1">
        <v>28.74</v>
      </c>
      <c r="H688" s="1">
        <v>5259.42</v>
      </c>
      <c r="I688" s="1">
        <v>4086.9</v>
      </c>
      <c r="J688" s="1">
        <v>1172.52</v>
      </c>
      <c r="K688" s="8" t="str">
        <f t="shared" si="10"/>
        <v>Jun</v>
      </c>
    </row>
    <row r="689" spans="1:11">
      <c r="A689" s="1" t="s">
        <v>713</v>
      </c>
      <c r="B689" s="2">
        <v>45661</v>
      </c>
      <c r="C689" s="1" t="s">
        <v>16</v>
      </c>
      <c r="D689" s="1" t="s">
        <v>13</v>
      </c>
      <c r="E689" s="1" t="s">
        <v>23</v>
      </c>
      <c r="F689" s="1">
        <v>134</v>
      </c>
      <c r="G689" s="1">
        <v>16.13</v>
      </c>
      <c r="H689" s="1">
        <v>2161.42</v>
      </c>
      <c r="I689" s="1">
        <v>1450.14</v>
      </c>
      <c r="J689" s="1">
        <v>711.28</v>
      </c>
      <c r="K689" s="8" t="str">
        <f t="shared" si="10"/>
        <v>Jan</v>
      </c>
    </row>
    <row r="690" spans="1:11">
      <c r="A690" s="1" t="s">
        <v>714</v>
      </c>
      <c r="B690" s="2">
        <v>45722</v>
      </c>
      <c r="C690" s="1" t="s">
        <v>36</v>
      </c>
      <c r="D690" s="1" t="s">
        <v>29</v>
      </c>
      <c r="E690" s="1" t="s">
        <v>33</v>
      </c>
      <c r="F690" s="1">
        <v>112</v>
      </c>
      <c r="G690" s="1">
        <v>23.2</v>
      </c>
      <c r="H690" s="1">
        <v>2598.4</v>
      </c>
      <c r="I690" s="1">
        <v>1856.33</v>
      </c>
      <c r="J690" s="1">
        <v>742.07</v>
      </c>
      <c r="K690" s="8" t="str">
        <f t="shared" si="10"/>
        <v>Mar</v>
      </c>
    </row>
    <row r="691" spans="1:11">
      <c r="A691" s="1" t="s">
        <v>715</v>
      </c>
      <c r="B691" s="2">
        <v>45883</v>
      </c>
      <c r="C691" s="1" t="s">
        <v>28</v>
      </c>
      <c r="D691" s="1" t="s">
        <v>13</v>
      </c>
      <c r="E691" s="1" t="s">
        <v>18</v>
      </c>
      <c r="F691" s="1">
        <v>44</v>
      </c>
      <c r="G691" s="1">
        <v>27.1</v>
      </c>
      <c r="H691" s="1">
        <v>1192.4000000000001</v>
      </c>
      <c r="I691" s="1">
        <v>886.95</v>
      </c>
      <c r="J691" s="1">
        <v>305.45</v>
      </c>
      <c r="K691" s="8" t="str">
        <f t="shared" si="10"/>
        <v>Aug</v>
      </c>
    </row>
    <row r="692" spans="1:11">
      <c r="A692" s="1" t="s">
        <v>716</v>
      </c>
      <c r="B692" s="2">
        <v>45991</v>
      </c>
      <c r="C692" s="1" t="s">
        <v>28</v>
      </c>
      <c r="D692" s="1" t="s">
        <v>29</v>
      </c>
      <c r="E692" s="1" t="s">
        <v>20</v>
      </c>
      <c r="F692" s="1">
        <v>132</v>
      </c>
      <c r="G692" s="1">
        <v>31.5</v>
      </c>
      <c r="H692" s="1">
        <v>4158</v>
      </c>
      <c r="I692" s="1">
        <v>2885.29</v>
      </c>
      <c r="J692" s="1">
        <v>1272.71</v>
      </c>
      <c r="K692" s="8" t="str">
        <f t="shared" si="10"/>
        <v>Nov</v>
      </c>
    </row>
    <row r="693" spans="1:11">
      <c r="A693" s="1" t="s">
        <v>717</v>
      </c>
      <c r="B693" s="2">
        <v>45718</v>
      </c>
      <c r="C693" s="1" t="s">
        <v>22</v>
      </c>
      <c r="D693" s="1" t="s">
        <v>13</v>
      </c>
      <c r="E693" s="1" t="s">
        <v>26</v>
      </c>
      <c r="F693" s="1">
        <v>264</v>
      </c>
      <c r="G693" s="1">
        <v>27.97</v>
      </c>
      <c r="H693" s="1">
        <v>7384.08</v>
      </c>
      <c r="I693" s="1">
        <v>4523.1099999999997</v>
      </c>
      <c r="J693" s="1">
        <v>2860.97</v>
      </c>
      <c r="K693" s="8" t="str">
        <f t="shared" si="10"/>
        <v>Mar</v>
      </c>
    </row>
    <row r="694" spans="1:11">
      <c r="A694" s="1" t="s">
        <v>718</v>
      </c>
      <c r="B694" s="2">
        <v>45858</v>
      </c>
      <c r="C694" s="1" t="s">
        <v>36</v>
      </c>
      <c r="D694" s="1" t="s">
        <v>29</v>
      </c>
      <c r="E694" s="1" t="s">
        <v>33</v>
      </c>
      <c r="F694" s="1">
        <v>299</v>
      </c>
      <c r="G694" s="1">
        <v>33.64</v>
      </c>
      <c r="H694" s="1">
        <v>10058.36</v>
      </c>
      <c r="I694" s="1">
        <v>7692.28</v>
      </c>
      <c r="J694" s="1">
        <v>2366.08</v>
      </c>
      <c r="K694" s="8" t="str">
        <f t="shared" si="10"/>
        <v>Jul</v>
      </c>
    </row>
    <row r="695" spans="1:11">
      <c r="A695" s="1" t="s">
        <v>719</v>
      </c>
      <c r="B695" s="2">
        <v>45989</v>
      </c>
      <c r="C695" s="1" t="s">
        <v>22</v>
      </c>
      <c r="D695" s="1" t="s">
        <v>13</v>
      </c>
      <c r="E695" s="1" t="s">
        <v>26</v>
      </c>
      <c r="F695" s="1">
        <v>29</v>
      </c>
      <c r="G695" s="1">
        <v>17.28</v>
      </c>
      <c r="H695" s="1">
        <v>501.12</v>
      </c>
      <c r="I695" s="1">
        <v>391.67</v>
      </c>
      <c r="J695" s="1">
        <v>109.45</v>
      </c>
      <c r="K695" s="8" t="str">
        <f t="shared" si="10"/>
        <v>Nov</v>
      </c>
    </row>
    <row r="696" spans="1:11">
      <c r="A696" s="1" t="s">
        <v>720</v>
      </c>
      <c r="B696" s="2">
        <v>45896</v>
      </c>
      <c r="C696" s="1" t="s">
        <v>22</v>
      </c>
      <c r="D696" s="1" t="s">
        <v>29</v>
      </c>
      <c r="E696" s="1" t="s">
        <v>26</v>
      </c>
      <c r="F696" s="1">
        <v>34</v>
      </c>
      <c r="G696" s="1">
        <v>22.06</v>
      </c>
      <c r="H696" s="1">
        <v>750.04</v>
      </c>
      <c r="I696" s="1">
        <v>591.21</v>
      </c>
      <c r="J696" s="1">
        <v>158.83000000000001</v>
      </c>
      <c r="K696" s="8" t="str">
        <f t="shared" si="10"/>
        <v>Aug</v>
      </c>
    </row>
    <row r="697" spans="1:11">
      <c r="A697" s="1" t="s">
        <v>721</v>
      </c>
      <c r="B697" s="2">
        <v>45942</v>
      </c>
      <c r="C697" s="1" t="s">
        <v>16</v>
      </c>
      <c r="D697" s="1" t="s">
        <v>17</v>
      </c>
      <c r="E697" s="1" t="s">
        <v>26</v>
      </c>
      <c r="F697" s="1">
        <v>221</v>
      </c>
      <c r="G697" s="1">
        <v>17.89</v>
      </c>
      <c r="H697" s="1">
        <v>3953.69</v>
      </c>
      <c r="I697" s="1">
        <v>2493.52</v>
      </c>
      <c r="J697" s="1">
        <v>1460.17</v>
      </c>
      <c r="K697" s="8" t="str">
        <f t="shared" si="10"/>
        <v>Oct</v>
      </c>
    </row>
    <row r="698" spans="1:11">
      <c r="A698" s="1" t="s">
        <v>722</v>
      </c>
      <c r="B698" s="2">
        <v>46021</v>
      </c>
      <c r="C698" s="1" t="s">
        <v>22</v>
      </c>
      <c r="D698" s="1" t="s">
        <v>29</v>
      </c>
      <c r="E698" s="1" t="s">
        <v>23</v>
      </c>
      <c r="F698" s="1">
        <v>59</v>
      </c>
      <c r="G698" s="1">
        <v>15.61</v>
      </c>
      <c r="H698" s="1">
        <v>920.99</v>
      </c>
      <c r="I698" s="1">
        <v>701.25</v>
      </c>
      <c r="J698" s="1">
        <v>219.74</v>
      </c>
      <c r="K698" s="8" t="str">
        <f t="shared" si="10"/>
        <v>Dec</v>
      </c>
    </row>
    <row r="699" spans="1:11">
      <c r="A699" s="1" t="s">
        <v>723</v>
      </c>
      <c r="B699" s="2">
        <v>45823</v>
      </c>
      <c r="C699" s="1" t="s">
        <v>28</v>
      </c>
      <c r="D699" s="1" t="s">
        <v>13</v>
      </c>
      <c r="E699" s="1" t="s">
        <v>26</v>
      </c>
      <c r="F699" s="1">
        <v>64</v>
      </c>
      <c r="G699" s="1">
        <v>25.29</v>
      </c>
      <c r="H699" s="1">
        <v>1618.56</v>
      </c>
      <c r="I699" s="1">
        <v>1280.8599999999999</v>
      </c>
      <c r="J699" s="1">
        <v>337.7</v>
      </c>
      <c r="K699" s="8" t="str">
        <f t="shared" si="10"/>
        <v>Jun</v>
      </c>
    </row>
    <row r="700" spans="1:11">
      <c r="A700" s="1" t="s">
        <v>724</v>
      </c>
      <c r="B700" s="2">
        <v>45673</v>
      </c>
      <c r="C700" s="1" t="s">
        <v>12</v>
      </c>
      <c r="D700" s="1" t="s">
        <v>29</v>
      </c>
      <c r="E700" s="1" t="s">
        <v>23</v>
      </c>
      <c r="F700" s="1">
        <v>294</v>
      </c>
      <c r="G700" s="1">
        <v>29.45</v>
      </c>
      <c r="H700" s="1">
        <v>8658.2999999999993</v>
      </c>
      <c r="I700" s="1">
        <v>5343.24</v>
      </c>
      <c r="J700" s="1">
        <v>3315.06</v>
      </c>
      <c r="K700" s="8" t="str">
        <f t="shared" si="10"/>
        <v>Jan</v>
      </c>
    </row>
    <row r="701" spans="1:11">
      <c r="A701" s="1" t="s">
        <v>725</v>
      </c>
      <c r="B701" s="2">
        <v>45962</v>
      </c>
      <c r="C701" s="1" t="s">
        <v>12</v>
      </c>
      <c r="D701" s="1" t="s">
        <v>29</v>
      </c>
      <c r="E701" s="1" t="s">
        <v>14</v>
      </c>
      <c r="F701" s="1">
        <v>285</v>
      </c>
      <c r="G701" s="1">
        <v>12.33</v>
      </c>
      <c r="H701" s="1">
        <v>3514.05</v>
      </c>
      <c r="I701" s="1">
        <v>2146.5500000000002</v>
      </c>
      <c r="J701" s="1">
        <v>1367.5</v>
      </c>
      <c r="K701" s="8" t="str">
        <f t="shared" si="10"/>
        <v>Nov</v>
      </c>
    </row>
    <row r="702" spans="1:11">
      <c r="A702" s="1" t="s">
        <v>726</v>
      </c>
      <c r="B702" s="2">
        <v>45892</v>
      </c>
      <c r="C702" s="1" t="s">
        <v>22</v>
      </c>
      <c r="D702" s="1" t="s">
        <v>13</v>
      </c>
      <c r="E702" s="1" t="s">
        <v>20</v>
      </c>
      <c r="F702" s="1">
        <v>213</v>
      </c>
      <c r="G702" s="1">
        <v>30.12</v>
      </c>
      <c r="H702" s="1">
        <v>6415.56</v>
      </c>
      <c r="I702" s="1">
        <v>4567.75</v>
      </c>
      <c r="J702" s="1">
        <v>1847.81</v>
      </c>
      <c r="K702" s="8" t="str">
        <f t="shared" si="10"/>
        <v>Aug</v>
      </c>
    </row>
    <row r="703" spans="1:11">
      <c r="A703" s="1" t="s">
        <v>727</v>
      </c>
      <c r="B703" s="2">
        <v>45917</v>
      </c>
      <c r="C703" s="1" t="s">
        <v>36</v>
      </c>
      <c r="D703" s="1" t="s">
        <v>13</v>
      </c>
      <c r="E703" s="1" t="s">
        <v>33</v>
      </c>
      <c r="F703" s="1">
        <v>244</v>
      </c>
      <c r="G703" s="1">
        <v>16.260000000000002</v>
      </c>
      <c r="H703" s="1">
        <v>3967.44</v>
      </c>
      <c r="I703" s="1">
        <v>2942.36</v>
      </c>
      <c r="J703" s="1">
        <v>1025.08</v>
      </c>
      <c r="K703" s="8" t="str">
        <f t="shared" si="10"/>
        <v>Sep</v>
      </c>
    </row>
    <row r="704" spans="1:11">
      <c r="A704" s="1" t="s">
        <v>728</v>
      </c>
      <c r="B704" s="2">
        <v>45877</v>
      </c>
      <c r="C704" s="1" t="s">
        <v>12</v>
      </c>
      <c r="D704" s="1" t="s">
        <v>17</v>
      </c>
      <c r="E704" s="1" t="s">
        <v>33</v>
      </c>
      <c r="F704" s="1">
        <v>66</v>
      </c>
      <c r="G704" s="1">
        <v>28.38</v>
      </c>
      <c r="H704" s="1">
        <v>1873.08</v>
      </c>
      <c r="I704" s="1">
        <v>1156.2</v>
      </c>
      <c r="J704" s="1">
        <v>716.88</v>
      </c>
      <c r="K704" s="8" t="str">
        <f t="shared" si="10"/>
        <v>Aug</v>
      </c>
    </row>
    <row r="705" spans="1:11">
      <c r="A705" s="1" t="s">
        <v>729</v>
      </c>
      <c r="B705" s="2">
        <v>45706</v>
      </c>
      <c r="C705" s="1" t="s">
        <v>16</v>
      </c>
      <c r="D705" s="1" t="s">
        <v>13</v>
      </c>
      <c r="E705" s="1" t="s">
        <v>14</v>
      </c>
      <c r="F705" s="1">
        <v>54</v>
      </c>
      <c r="G705" s="1">
        <v>31.91</v>
      </c>
      <c r="H705" s="1">
        <v>1723.14</v>
      </c>
      <c r="I705" s="1">
        <v>1326.72</v>
      </c>
      <c r="J705" s="1">
        <v>396.42</v>
      </c>
      <c r="K705" s="8" t="str">
        <f t="shared" si="10"/>
        <v>Feb</v>
      </c>
    </row>
    <row r="706" spans="1:11">
      <c r="A706" s="1" t="s">
        <v>730</v>
      </c>
      <c r="B706" s="2">
        <v>45798</v>
      </c>
      <c r="C706" s="1" t="s">
        <v>28</v>
      </c>
      <c r="D706" s="1" t="s">
        <v>29</v>
      </c>
      <c r="E706" s="1" t="s">
        <v>23</v>
      </c>
      <c r="F706" s="1">
        <v>164</v>
      </c>
      <c r="G706" s="1">
        <v>19.28</v>
      </c>
      <c r="H706" s="1">
        <v>3161.92</v>
      </c>
      <c r="I706" s="1">
        <v>2084.16</v>
      </c>
      <c r="J706" s="1">
        <v>1077.76</v>
      </c>
      <c r="K706" s="8" t="str">
        <f t="shared" ref="K706:K769" si="11">TEXT(B706,"mmm")</f>
        <v>May</v>
      </c>
    </row>
    <row r="707" spans="1:11">
      <c r="A707" s="1" t="s">
        <v>731</v>
      </c>
      <c r="B707" s="2">
        <v>45829</v>
      </c>
      <c r="C707" s="1" t="s">
        <v>16</v>
      </c>
      <c r="D707" s="1" t="s">
        <v>29</v>
      </c>
      <c r="E707" s="1" t="s">
        <v>33</v>
      </c>
      <c r="F707" s="1">
        <v>108</v>
      </c>
      <c r="G707" s="1">
        <v>10.210000000000001</v>
      </c>
      <c r="H707" s="1">
        <v>1102.68</v>
      </c>
      <c r="I707" s="1">
        <v>678.15</v>
      </c>
      <c r="J707" s="1">
        <v>424.53</v>
      </c>
      <c r="K707" s="8" t="str">
        <f t="shared" si="11"/>
        <v>Jun</v>
      </c>
    </row>
    <row r="708" spans="1:11">
      <c r="A708" s="1" t="s">
        <v>732</v>
      </c>
      <c r="B708" s="2">
        <v>45964</v>
      </c>
      <c r="C708" s="1" t="s">
        <v>28</v>
      </c>
      <c r="D708" s="1" t="s">
        <v>29</v>
      </c>
      <c r="E708" s="1" t="s">
        <v>23</v>
      </c>
      <c r="F708" s="1">
        <v>119</v>
      </c>
      <c r="G708" s="1">
        <v>25.6</v>
      </c>
      <c r="H708" s="1">
        <v>3046.4</v>
      </c>
      <c r="I708" s="1">
        <v>2105.44</v>
      </c>
      <c r="J708" s="1">
        <v>940.96</v>
      </c>
      <c r="K708" s="8" t="str">
        <f t="shared" si="11"/>
        <v>Nov</v>
      </c>
    </row>
    <row r="709" spans="1:11">
      <c r="A709" s="1" t="s">
        <v>733</v>
      </c>
      <c r="B709" s="2">
        <v>45990</v>
      </c>
      <c r="C709" s="1" t="s">
        <v>16</v>
      </c>
      <c r="D709" s="1" t="s">
        <v>13</v>
      </c>
      <c r="E709" s="1" t="s">
        <v>26</v>
      </c>
      <c r="F709" s="1">
        <v>117</v>
      </c>
      <c r="G709" s="1">
        <v>37.49</v>
      </c>
      <c r="H709" s="1">
        <v>4386.33</v>
      </c>
      <c r="I709" s="1">
        <v>3274.56</v>
      </c>
      <c r="J709" s="1">
        <v>1111.77</v>
      </c>
      <c r="K709" s="8" t="str">
        <f t="shared" si="11"/>
        <v>Nov</v>
      </c>
    </row>
    <row r="710" spans="1:11">
      <c r="A710" s="1" t="s">
        <v>734</v>
      </c>
      <c r="B710" s="2">
        <v>45673</v>
      </c>
      <c r="C710" s="1" t="s">
        <v>16</v>
      </c>
      <c r="D710" s="1" t="s">
        <v>13</v>
      </c>
      <c r="E710" s="1" t="s">
        <v>23</v>
      </c>
      <c r="F710" s="1">
        <v>79</v>
      </c>
      <c r="G710" s="1">
        <v>35.5</v>
      </c>
      <c r="H710" s="1">
        <v>2804.5</v>
      </c>
      <c r="I710" s="1">
        <v>1924.32</v>
      </c>
      <c r="J710" s="1">
        <v>880.18</v>
      </c>
      <c r="K710" s="8" t="str">
        <f t="shared" si="11"/>
        <v>Jan</v>
      </c>
    </row>
    <row r="711" spans="1:11">
      <c r="A711" s="1" t="s">
        <v>735</v>
      </c>
      <c r="B711" s="2">
        <v>45808</v>
      </c>
      <c r="C711" s="1" t="s">
        <v>31</v>
      </c>
      <c r="D711" s="1" t="s">
        <v>17</v>
      </c>
      <c r="E711" s="1" t="s">
        <v>26</v>
      </c>
      <c r="F711" s="1">
        <v>236</v>
      </c>
      <c r="G711" s="1">
        <v>17.66</v>
      </c>
      <c r="H711" s="1">
        <v>4167.76</v>
      </c>
      <c r="I711" s="1">
        <v>2612.4699999999998</v>
      </c>
      <c r="J711" s="1">
        <v>1555.29</v>
      </c>
      <c r="K711" s="8" t="str">
        <f t="shared" si="11"/>
        <v>May</v>
      </c>
    </row>
    <row r="712" spans="1:11">
      <c r="A712" s="1" t="s">
        <v>736</v>
      </c>
      <c r="B712" s="2">
        <v>45824</v>
      </c>
      <c r="C712" s="1" t="s">
        <v>36</v>
      </c>
      <c r="D712" s="1" t="s">
        <v>29</v>
      </c>
      <c r="E712" s="1" t="s">
        <v>18</v>
      </c>
      <c r="F712" s="1">
        <v>205</v>
      </c>
      <c r="G712" s="1">
        <v>12.84</v>
      </c>
      <c r="H712" s="1">
        <v>2632.2</v>
      </c>
      <c r="I712" s="1">
        <v>1812.47</v>
      </c>
      <c r="J712" s="1">
        <v>819.73</v>
      </c>
      <c r="K712" s="8" t="str">
        <f t="shared" si="11"/>
        <v>Jun</v>
      </c>
    </row>
    <row r="713" spans="1:11">
      <c r="A713" s="1" t="s">
        <v>737</v>
      </c>
      <c r="B713" s="2">
        <v>45977</v>
      </c>
      <c r="C713" s="1" t="s">
        <v>28</v>
      </c>
      <c r="D713" s="1" t="s">
        <v>29</v>
      </c>
      <c r="E713" s="1" t="s">
        <v>26</v>
      </c>
      <c r="F713" s="1">
        <v>176</v>
      </c>
      <c r="G713" s="1">
        <v>18.23</v>
      </c>
      <c r="H713" s="1">
        <v>3208.48</v>
      </c>
      <c r="I713" s="1">
        <v>2085.35</v>
      </c>
      <c r="J713" s="1">
        <v>1123.1300000000001</v>
      </c>
      <c r="K713" s="8" t="str">
        <f t="shared" si="11"/>
        <v>Nov</v>
      </c>
    </row>
    <row r="714" spans="1:11">
      <c r="A714" s="1" t="s">
        <v>738</v>
      </c>
      <c r="B714" s="2">
        <v>45832</v>
      </c>
      <c r="C714" s="1" t="s">
        <v>31</v>
      </c>
      <c r="D714" s="1" t="s">
        <v>13</v>
      </c>
      <c r="E714" s="1" t="s">
        <v>20</v>
      </c>
      <c r="F714" s="1">
        <v>128</v>
      </c>
      <c r="G714" s="1">
        <v>26.32</v>
      </c>
      <c r="H714" s="1">
        <v>3368.96</v>
      </c>
      <c r="I714" s="1">
        <v>2261.7800000000002</v>
      </c>
      <c r="J714" s="1">
        <v>1107.18</v>
      </c>
      <c r="K714" s="8" t="str">
        <f t="shared" si="11"/>
        <v>Jun</v>
      </c>
    </row>
    <row r="715" spans="1:11">
      <c r="A715" s="1" t="s">
        <v>739</v>
      </c>
      <c r="B715" s="2">
        <v>45833</v>
      </c>
      <c r="C715" s="1" t="s">
        <v>31</v>
      </c>
      <c r="D715" s="1" t="s">
        <v>17</v>
      </c>
      <c r="E715" s="1" t="s">
        <v>33</v>
      </c>
      <c r="F715" s="1">
        <v>50</v>
      </c>
      <c r="G715" s="1">
        <v>25.96</v>
      </c>
      <c r="H715" s="1">
        <v>1298</v>
      </c>
      <c r="I715" s="1">
        <v>806.02</v>
      </c>
      <c r="J715" s="1">
        <v>491.98</v>
      </c>
      <c r="K715" s="8" t="str">
        <f t="shared" si="11"/>
        <v>Jun</v>
      </c>
    </row>
    <row r="716" spans="1:11">
      <c r="A716" s="1" t="s">
        <v>740</v>
      </c>
      <c r="B716" s="2">
        <v>45830</v>
      </c>
      <c r="C716" s="1" t="s">
        <v>28</v>
      </c>
      <c r="D716" s="1" t="s">
        <v>13</v>
      </c>
      <c r="E716" s="1" t="s">
        <v>20</v>
      </c>
      <c r="F716" s="1">
        <v>197</v>
      </c>
      <c r="G716" s="1">
        <v>11.93</v>
      </c>
      <c r="H716" s="1">
        <v>2350.21</v>
      </c>
      <c r="I716" s="1">
        <v>1467.4</v>
      </c>
      <c r="J716" s="1">
        <v>882.81</v>
      </c>
      <c r="K716" s="8" t="str">
        <f t="shared" si="11"/>
        <v>Jun</v>
      </c>
    </row>
    <row r="717" spans="1:11">
      <c r="A717" s="1" t="s">
        <v>741</v>
      </c>
      <c r="B717" s="2">
        <v>45929</v>
      </c>
      <c r="C717" s="1" t="s">
        <v>28</v>
      </c>
      <c r="D717" s="1" t="s">
        <v>29</v>
      </c>
      <c r="E717" s="1" t="s">
        <v>33</v>
      </c>
      <c r="F717" s="1">
        <v>37</v>
      </c>
      <c r="G717" s="1">
        <v>29.5</v>
      </c>
      <c r="H717" s="1">
        <v>1091.5</v>
      </c>
      <c r="I717" s="1">
        <v>772.43</v>
      </c>
      <c r="J717" s="1">
        <v>319.07</v>
      </c>
      <c r="K717" s="8" t="str">
        <f t="shared" si="11"/>
        <v>Sep</v>
      </c>
    </row>
    <row r="718" spans="1:11">
      <c r="A718" s="1" t="s">
        <v>742</v>
      </c>
      <c r="B718" s="2">
        <v>45981</v>
      </c>
      <c r="C718" s="1" t="s">
        <v>16</v>
      </c>
      <c r="D718" s="1" t="s">
        <v>29</v>
      </c>
      <c r="E718" s="1" t="s">
        <v>14</v>
      </c>
      <c r="F718" s="1">
        <v>55</v>
      </c>
      <c r="G718" s="1">
        <v>29.43</v>
      </c>
      <c r="H718" s="1">
        <v>1618.65</v>
      </c>
      <c r="I718" s="1">
        <v>1041.78</v>
      </c>
      <c r="J718" s="1">
        <v>576.87</v>
      </c>
      <c r="K718" s="8" t="str">
        <f t="shared" si="11"/>
        <v>Nov</v>
      </c>
    </row>
    <row r="719" spans="1:11">
      <c r="A719" s="1" t="s">
        <v>743</v>
      </c>
      <c r="B719" s="2">
        <v>45878</v>
      </c>
      <c r="C719" s="1" t="s">
        <v>28</v>
      </c>
      <c r="D719" s="1" t="s">
        <v>29</v>
      </c>
      <c r="E719" s="1" t="s">
        <v>33</v>
      </c>
      <c r="F719" s="1">
        <v>70</v>
      </c>
      <c r="G719" s="1">
        <v>39.69</v>
      </c>
      <c r="H719" s="1">
        <v>2778.3</v>
      </c>
      <c r="I719" s="1">
        <v>1764.93</v>
      </c>
      <c r="J719" s="1">
        <v>1013.37</v>
      </c>
      <c r="K719" s="8" t="str">
        <f t="shared" si="11"/>
        <v>Aug</v>
      </c>
    </row>
    <row r="720" spans="1:11">
      <c r="A720" s="1" t="s">
        <v>744</v>
      </c>
      <c r="B720" s="2">
        <v>45743</v>
      </c>
      <c r="C720" s="1" t="s">
        <v>31</v>
      </c>
      <c r="D720" s="1" t="s">
        <v>13</v>
      </c>
      <c r="E720" s="1" t="s">
        <v>26</v>
      </c>
      <c r="F720" s="1">
        <v>155</v>
      </c>
      <c r="G720" s="1">
        <v>32.590000000000003</v>
      </c>
      <c r="H720" s="1">
        <v>5051.45</v>
      </c>
      <c r="I720" s="1">
        <v>3281.92</v>
      </c>
      <c r="J720" s="1">
        <v>1769.53</v>
      </c>
      <c r="K720" s="8" t="str">
        <f t="shared" si="11"/>
        <v>Mar</v>
      </c>
    </row>
    <row r="721" spans="1:11">
      <c r="A721" s="1" t="s">
        <v>745</v>
      </c>
      <c r="B721" s="2">
        <v>46011</v>
      </c>
      <c r="C721" s="1" t="s">
        <v>36</v>
      </c>
      <c r="D721" s="1" t="s">
        <v>29</v>
      </c>
      <c r="E721" s="1" t="s">
        <v>33</v>
      </c>
      <c r="F721" s="1">
        <v>117</v>
      </c>
      <c r="G721" s="1">
        <v>29.23</v>
      </c>
      <c r="H721" s="1">
        <v>3419.91</v>
      </c>
      <c r="I721" s="1">
        <v>2474.84</v>
      </c>
      <c r="J721" s="1">
        <v>945.07</v>
      </c>
      <c r="K721" s="8" t="str">
        <f t="shared" si="11"/>
        <v>Dec</v>
      </c>
    </row>
    <row r="722" spans="1:11">
      <c r="A722" s="1" t="s">
        <v>746</v>
      </c>
      <c r="B722" s="2">
        <v>45960</v>
      </c>
      <c r="C722" s="1" t="s">
        <v>36</v>
      </c>
      <c r="D722" s="1" t="s">
        <v>17</v>
      </c>
      <c r="E722" s="1" t="s">
        <v>14</v>
      </c>
      <c r="F722" s="1">
        <v>82</v>
      </c>
      <c r="G722" s="1">
        <v>29.68</v>
      </c>
      <c r="H722" s="1">
        <v>2433.7600000000002</v>
      </c>
      <c r="I722" s="1">
        <v>1751.26</v>
      </c>
      <c r="J722" s="1">
        <v>682.5</v>
      </c>
      <c r="K722" s="8" t="str">
        <f t="shared" si="11"/>
        <v>Oct</v>
      </c>
    </row>
    <row r="723" spans="1:11">
      <c r="A723" s="1" t="s">
        <v>747</v>
      </c>
      <c r="B723" s="2">
        <v>45697</v>
      </c>
      <c r="C723" s="1" t="s">
        <v>16</v>
      </c>
      <c r="D723" s="1" t="s">
        <v>17</v>
      </c>
      <c r="E723" s="1" t="s">
        <v>26</v>
      </c>
      <c r="F723" s="1">
        <v>42</v>
      </c>
      <c r="G723" s="1">
        <v>31.89</v>
      </c>
      <c r="H723" s="1">
        <v>1339.38</v>
      </c>
      <c r="I723" s="1">
        <v>947.12</v>
      </c>
      <c r="J723" s="1">
        <v>392.26</v>
      </c>
      <c r="K723" s="8" t="str">
        <f t="shared" si="11"/>
        <v>Feb</v>
      </c>
    </row>
    <row r="724" spans="1:11">
      <c r="A724" s="1" t="s">
        <v>748</v>
      </c>
      <c r="B724" s="2">
        <v>45730</v>
      </c>
      <c r="C724" s="1" t="s">
        <v>12</v>
      </c>
      <c r="D724" s="1" t="s">
        <v>29</v>
      </c>
      <c r="E724" s="1" t="s">
        <v>14</v>
      </c>
      <c r="F724" s="1">
        <v>295</v>
      </c>
      <c r="G724" s="1">
        <v>13.39</v>
      </c>
      <c r="H724" s="1">
        <v>3950.05</v>
      </c>
      <c r="I724" s="1">
        <v>2760.05</v>
      </c>
      <c r="J724" s="1">
        <v>1190</v>
      </c>
      <c r="K724" s="8" t="str">
        <f t="shared" si="11"/>
        <v>Mar</v>
      </c>
    </row>
    <row r="725" spans="1:11">
      <c r="A725" s="1" t="s">
        <v>749</v>
      </c>
      <c r="B725" s="2">
        <v>45888</v>
      </c>
      <c r="C725" s="1" t="s">
        <v>28</v>
      </c>
      <c r="D725" s="1" t="s">
        <v>17</v>
      </c>
      <c r="E725" s="1" t="s">
        <v>33</v>
      </c>
      <c r="F725" s="1">
        <v>101</v>
      </c>
      <c r="G725" s="1">
        <v>37</v>
      </c>
      <c r="H725" s="1">
        <v>3737</v>
      </c>
      <c r="I725" s="1">
        <v>2432.7399999999998</v>
      </c>
      <c r="J725" s="1">
        <v>1304.26</v>
      </c>
      <c r="K725" s="8" t="str">
        <f t="shared" si="11"/>
        <v>Aug</v>
      </c>
    </row>
    <row r="726" spans="1:11">
      <c r="A726" s="1" t="s">
        <v>750</v>
      </c>
      <c r="B726" s="2">
        <v>46011</v>
      </c>
      <c r="C726" s="1" t="s">
        <v>16</v>
      </c>
      <c r="D726" s="1" t="s">
        <v>17</v>
      </c>
      <c r="E726" s="1" t="s">
        <v>14</v>
      </c>
      <c r="F726" s="1">
        <v>98</v>
      </c>
      <c r="G726" s="1">
        <v>23.35</v>
      </c>
      <c r="H726" s="1">
        <v>2288.3000000000002</v>
      </c>
      <c r="I726" s="1">
        <v>1706.3</v>
      </c>
      <c r="J726" s="1">
        <v>582</v>
      </c>
      <c r="K726" s="8" t="str">
        <f t="shared" si="11"/>
        <v>Dec</v>
      </c>
    </row>
    <row r="727" spans="1:11">
      <c r="A727" s="1" t="s">
        <v>751</v>
      </c>
      <c r="B727" s="2">
        <v>45823</v>
      </c>
      <c r="C727" s="1" t="s">
        <v>22</v>
      </c>
      <c r="D727" s="1" t="s">
        <v>13</v>
      </c>
      <c r="E727" s="1" t="s">
        <v>20</v>
      </c>
      <c r="F727" s="1">
        <v>115</v>
      </c>
      <c r="G727" s="1">
        <v>10.92</v>
      </c>
      <c r="H727" s="1">
        <v>1255.8</v>
      </c>
      <c r="I727" s="1">
        <v>961.63</v>
      </c>
      <c r="J727" s="1">
        <v>294.17</v>
      </c>
      <c r="K727" s="8" t="str">
        <f t="shared" si="11"/>
        <v>Jun</v>
      </c>
    </row>
    <row r="728" spans="1:11">
      <c r="A728" s="1" t="s">
        <v>752</v>
      </c>
      <c r="B728" s="2">
        <v>45837</v>
      </c>
      <c r="C728" s="1" t="s">
        <v>22</v>
      </c>
      <c r="D728" s="1" t="s">
        <v>13</v>
      </c>
      <c r="E728" s="1" t="s">
        <v>26</v>
      </c>
      <c r="F728" s="1">
        <v>181</v>
      </c>
      <c r="G728" s="1">
        <v>18.329999999999998</v>
      </c>
      <c r="H728" s="1">
        <v>3317.73</v>
      </c>
      <c r="I728" s="1">
        <v>1997.14</v>
      </c>
      <c r="J728" s="1">
        <v>1320.59</v>
      </c>
      <c r="K728" s="8" t="str">
        <f t="shared" si="11"/>
        <v>Jun</v>
      </c>
    </row>
    <row r="729" spans="1:11">
      <c r="A729" s="1" t="s">
        <v>753</v>
      </c>
      <c r="B729" s="2">
        <v>45738</v>
      </c>
      <c r="C729" s="1" t="s">
        <v>22</v>
      </c>
      <c r="D729" s="1" t="s">
        <v>17</v>
      </c>
      <c r="E729" s="1" t="s">
        <v>26</v>
      </c>
      <c r="F729" s="1">
        <v>169</v>
      </c>
      <c r="G729" s="1">
        <v>29.84</v>
      </c>
      <c r="H729" s="1">
        <v>5042.96</v>
      </c>
      <c r="I729" s="1">
        <v>3207.94</v>
      </c>
      <c r="J729" s="1">
        <v>1835.02</v>
      </c>
      <c r="K729" s="8" t="str">
        <f t="shared" si="11"/>
        <v>Mar</v>
      </c>
    </row>
    <row r="730" spans="1:11">
      <c r="A730" s="1" t="s">
        <v>754</v>
      </c>
      <c r="B730" s="2">
        <v>45687</v>
      </c>
      <c r="C730" s="1" t="s">
        <v>12</v>
      </c>
      <c r="D730" s="1" t="s">
        <v>13</v>
      </c>
      <c r="E730" s="1" t="s">
        <v>26</v>
      </c>
      <c r="F730" s="1">
        <v>206</v>
      </c>
      <c r="G730" s="1">
        <v>17.62</v>
      </c>
      <c r="H730" s="1">
        <v>3629.72</v>
      </c>
      <c r="I730" s="1">
        <v>2242.4</v>
      </c>
      <c r="J730" s="1">
        <v>1387.32</v>
      </c>
      <c r="K730" s="8" t="str">
        <f t="shared" si="11"/>
        <v>Jan</v>
      </c>
    </row>
    <row r="731" spans="1:11">
      <c r="A731" s="1" t="s">
        <v>755</v>
      </c>
      <c r="B731" s="2">
        <v>45691</v>
      </c>
      <c r="C731" s="1" t="s">
        <v>22</v>
      </c>
      <c r="D731" s="1" t="s">
        <v>17</v>
      </c>
      <c r="E731" s="1" t="s">
        <v>14</v>
      </c>
      <c r="F731" s="1">
        <v>161</v>
      </c>
      <c r="G731" s="1">
        <v>10.44</v>
      </c>
      <c r="H731" s="1">
        <v>1680.84</v>
      </c>
      <c r="I731" s="1">
        <v>1295.0999999999999</v>
      </c>
      <c r="J731" s="1">
        <v>385.74</v>
      </c>
      <c r="K731" s="8" t="str">
        <f t="shared" si="11"/>
        <v>Feb</v>
      </c>
    </row>
    <row r="732" spans="1:11">
      <c r="A732" s="1" t="s">
        <v>756</v>
      </c>
      <c r="B732" s="2">
        <v>45935</v>
      </c>
      <c r="C732" s="1" t="s">
        <v>31</v>
      </c>
      <c r="D732" s="1" t="s">
        <v>17</v>
      </c>
      <c r="E732" s="1" t="s">
        <v>14</v>
      </c>
      <c r="F732" s="1">
        <v>100</v>
      </c>
      <c r="G732" s="1">
        <v>14.15</v>
      </c>
      <c r="H732" s="1">
        <v>1415</v>
      </c>
      <c r="I732" s="1">
        <v>1072</v>
      </c>
      <c r="J732" s="1">
        <v>343</v>
      </c>
      <c r="K732" s="8" t="str">
        <f t="shared" si="11"/>
        <v>Oct</v>
      </c>
    </row>
    <row r="733" spans="1:11">
      <c r="A733" s="1" t="s">
        <v>757</v>
      </c>
      <c r="B733" s="2">
        <v>45743</v>
      </c>
      <c r="C733" s="1" t="s">
        <v>22</v>
      </c>
      <c r="D733" s="1" t="s">
        <v>17</v>
      </c>
      <c r="E733" s="1" t="s">
        <v>18</v>
      </c>
      <c r="F733" s="1">
        <v>277</v>
      </c>
      <c r="G733" s="1">
        <v>29.9</v>
      </c>
      <c r="H733" s="1">
        <v>8282.2999999999993</v>
      </c>
      <c r="I733" s="1">
        <v>6414.49</v>
      </c>
      <c r="J733" s="1">
        <v>1867.81</v>
      </c>
      <c r="K733" s="8" t="str">
        <f t="shared" si="11"/>
        <v>Mar</v>
      </c>
    </row>
    <row r="734" spans="1:11">
      <c r="A734" s="1" t="s">
        <v>758</v>
      </c>
      <c r="B734" s="2">
        <v>45673</v>
      </c>
      <c r="C734" s="1" t="s">
        <v>28</v>
      </c>
      <c r="D734" s="1" t="s">
        <v>17</v>
      </c>
      <c r="E734" s="1" t="s">
        <v>20</v>
      </c>
      <c r="F734" s="1">
        <v>124</v>
      </c>
      <c r="G734" s="1">
        <v>29.46</v>
      </c>
      <c r="H734" s="1">
        <v>3653.04</v>
      </c>
      <c r="I734" s="1">
        <v>2839.6</v>
      </c>
      <c r="J734" s="1">
        <v>813.44</v>
      </c>
      <c r="K734" s="8" t="str">
        <f t="shared" si="11"/>
        <v>Jan</v>
      </c>
    </row>
    <row r="735" spans="1:11">
      <c r="A735" s="1" t="s">
        <v>759</v>
      </c>
      <c r="B735" s="2">
        <v>45986</v>
      </c>
      <c r="C735" s="1" t="s">
        <v>16</v>
      </c>
      <c r="D735" s="1" t="s">
        <v>29</v>
      </c>
      <c r="E735" s="1" t="s">
        <v>18</v>
      </c>
      <c r="F735" s="1">
        <v>251</v>
      </c>
      <c r="G735" s="1">
        <v>17.89</v>
      </c>
      <c r="H735" s="1">
        <v>4490.3900000000003</v>
      </c>
      <c r="I735" s="1">
        <v>2701</v>
      </c>
      <c r="J735" s="1">
        <v>1789.39</v>
      </c>
      <c r="K735" s="8" t="str">
        <f t="shared" si="11"/>
        <v>Nov</v>
      </c>
    </row>
    <row r="736" spans="1:11">
      <c r="A736" s="1" t="s">
        <v>760</v>
      </c>
      <c r="B736" s="2">
        <v>45847</v>
      </c>
      <c r="C736" s="1" t="s">
        <v>28</v>
      </c>
      <c r="D736" s="1" t="s">
        <v>13</v>
      </c>
      <c r="E736" s="1" t="s">
        <v>26</v>
      </c>
      <c r="F736" s="1">
        <v>130</v>
      </c>
      <c r="G736" s="1">
        <v>18.46</v>
      </c>
      <c r="H736" s="1">
        <v>2399.8000000000002</v>
      </c>
      <c r="I736" s="1">
        <v>1666.7</v>
      </c>
      <c r="J736" s="1">
        <v>733.1</v>
      </c>
      <c r="K736" s="8" t="str">
        <f t="shared" si="11"/>
        <v>Jul</v>
      </c>
    </row>
    <row r="737" spans="1:11">
      <c r="A737" s="1" t="s">
        <v>761</v>
      </c>
      <c r="B737" s="2">
        <v>45893</v>
      </c>
      <c r="C737" s="1" t="s">
        <v>16</v>
      </c>
      <c r="D737" s="1" t="s">
        <v>17</v>
      </c>
      <c r="E737" s="1" t="s">
        <v>18</v>
      </c>
      <c r="F737" s="1">
        <v>294</v>
      </c>
      <c r="G737" s="1">
        <v>31.35</v>
      </c>
      <c r="H737" s="1">
        <v>9216.9</v>
      </c>
      <c r="I737" s="1">
        <v>5702.93</v>
      </c>
      <c r="J737" s="1">
        <v>3513.97</v>
      </c>
      <c r="K737" s="8" t="str">
        <f t="shared" si="11"/>
        <v>Aug</v>
      </c>
    </row>
    <row r="738" spans="1:11">
      <c r="A738" s="1" t="s">
        <v>762</v>
      </c>
      <c r="B738" s="2">
        <v>45746</v>
      </c>
      <c r="C738" s="1" t="s">
        <v>22</v>
      </c>
      <c r="D738" s="1" t="s">
        <v>13</v>
      </c>
      <c r="E738" s="1" t="s">
        <v>14</v>
      </c>
      <c r="F738" s="1">
        <v>128</v>
      </c>
      <c r="G738" s="1">
        <v>22.77</v>
      </c>
      <c r="H738" s="1">
        <v>2914.56</v>
      </c>
      <c r="I738" s="1">
        <v>1784.13</v>
      </c>
      <c r="J738" s="1">
        <v>1130.43</v>
      </c>
      <c r="K738" s="8" t="str">
        <f t="shared" si="11"/>
        <v>Mar</v>
      </c>
    </row>
    <row r="739" spans="1:11">
      <c r="A739" s="1" t="s">
        <v>763</v>
      </c>
      <c r="B739" s="2">
        <v>45842</v>
      </c>
      <c r="C739" s="1" t="s">
        <v>12</v>
      </c>
      <c r="D739" s="1" t="s">
        <v>13</v>
      </c>
      <c r="E739" s="1" t="s">
        <v>26</v>
      </c>
      <c r="F739" s="1">
        <v>237</v>
      </c>
      <c r="G739" s="1">
        <v>24.08</v>
      </c>
      <c r="H739" s="1">
        <v>5706.96</v>
      </c>
      <c r="I739" s="1">
        <v>4493.1899999999996</v>
      </c>
      <c r="J739" s="1">
        <v>1213.77</v>
      </c>
      <c r="K739" s="8" t="str">
        <f t="shared" si="11"/>
        <v>Jul</v>
      </c>
    </row>
    <row r="740" spans="1:11">
      <c r="A740" s="1" t="s">
        <v>764</v>
      </c>
      <c r="B740" s="2">
        <v>45918</v>
      </c>
      <c r="C740" s="1" t="s">
        <v>12</v>
      </c>
      <c r="D740" s="1" t="s">
        <v>17</v>
      </c>
      <c r="E740" s="1" t="s">
        <v>26</v>
      </c>
      <c r="F740" s="1">
        <v>123</v>
      </c>
      <c r="G740" s="1">
        <v>24.52</v>
      </c>
      <c r="H740" s="1">
        <v>3015.96</v>
      </c>
      <c r="I740" s="1">
        <v>1939.78</v>
      </c>
      <c r="J740" s="1">
        <v>1076.18</v>
      </c>
      <c r="K740" s="8" t="str">
        <f t="shared" si="11"/>
        <v>Sep</v>
      </c>
    </row>
    <row r="741" spans="1:11">
      <c r="A741" s="1" t="s">
        <v>765</v>
      </c>
      <c r="B741" s="2">
        <v>45688</v>
      </c>
      <c r="C741" s="1" t="s">
        <v>22</v>
      </c>
      <c r="D741" s="1" t="s">
        <v>29</v>
      </c>
      <c r="E741" s="1" t="s">
        <v>14</v>
      </c>
      <c r="F741" s="1">
        <v>231</v>
      </c>
      <c r="G741" s="1">
        <v>25.75</v>
      </c>
      <c r="H741" s="1">
        <v>5948.25</v>
      </c>
      <c r="I741" s="1">
        <v>3854.15</v>
      </c>
      <c r="J741" s="1">
        <v>2094.1</v>
      </c>
      <c r="K741" s="8" t="str">
        <f t="shared" si="11"/>
        <v>Jan</v>
      </c>
    </row>
    <row r="742" spans="1:11">
      <c r="A742" s="1" t="s">
        <v>766</v>
      </c>
      <c r="B742" s="2">
        <v>45766</v>
      </c>
      <c r="C742" s="1" t="s">
        <v>28</v>
      </c>
      <c r="D742" s="1" t="s">
        <v>29</v>
      </c>
      <c r="E742" s="1" t="s">
        <v>20</v>
      </c>
      <c r="F742" s="1">
        <v>61</v>
      </c>
      <c r="G742" s="1">
        <v>12.49</v>
      </c>
      <c r="H742" s="1">
        <v>761.89</v>
      </c>
      <c r="I742" s="1">
        <v>497.56</v>
      </c>
      <c r="J742" s="1">
        <v>264.33</v>
      </c>
      <c r="K742" s="8" t="str">
        <f t="shared" si="11"/>
        <v>Apr</v>
      </c>
    </row>
    <row r="743" spans="1:11">
      <c r="A743" s="1" t="s">
        <v>767</v>
      </c>
      <c r="B743" s="2">
        <v>45696</v>
      </c>
      <c r="C743" s="1" t="s">
        <v>31</v>
      </c>
      <c r="D743" s="1" t="s">
        <v>29</v>
      </c>
      <c r="E743" s="1" t="s">
        <v>14</v>
      </c>
      <c r="F743" s="1">
        <v>241</v>
      </c>
      <c r="G743" s="1">
        <v>28.93</v>
      </c>
      <c r="H743" s="1">
        <v>6972.13</v>
      </c>
      <c r="I743" s="1">
        <v>4319.84</v>
      </c>
      <c r="J743" s="1">
        <v>2652.29</v>
      </c>
      <c r="K743" s="8" t="str">
        <f t="shared" si="11"/>
        <v>Feb</v>
      </c>
    </row>
    <row r="744" spans="1:11">
      <c r="A744" s="1" t="s">
        <v>768</v>
      </c>
      <c r="B744" s="2">
        <v>45692</v>
      </c>
      <c r="C744" s="1" t="s">
        <v>31</v>
      </c>
      <c r="D744" s="1" t="s">
        <v>13</v>
      </c>
      <c r="E744" s="1" t="s">
        <v>23</v>
      </c>
      <c r="F744" s="1">
        <v>71</v>
      </c>
      <c r="G744" s="1">
        <v>31.1</v>
      </c>
      <c r="H744" s="1">
        <v>2208.1</v>
      </c>
      <c r="I744" s="1">
        <v>1534.62</v>
      </c>
      <c r="J744" s="1">
        <v>673.48</v>
      </c>
      <c r="K744" s="8" t="str">
        <f t="shared" si="11"/>
        <v>Feb</v>
      </c>
    </row>
    <row r="745" spans="1:11">
      <c r="A745" s="1" t="s">
        <v>769</v>
      </c>
      <c r="B745" s="2">
        <v>45663</v>
      </c>
      <c r="C745" s="1" t="s">
        <v>36</v>
      </c>
      <c r="D745" s="1" t="s">
        <v>29</v>
      </c>
      <c r="E745" s="1" t="s">
        <v>26</v>
      </c>
      <c r="F745" s="1">
        <v>273</v>
      </c>
      <c r="G745" s="1">
        <v>37.08</v>
      </c>
      <c r="H745" s="1">
        <v>10122.84</v>
      </c>
      <c r="I745" s="1">
        <v>7376.64</v>
      </c>
      <c r="J745" s="1">
        <v>2746.2</v>
      </c>
      <c r="K745" s="8" t="str">
        <f t="shared" si="11"/>
        <v>Jan</v>
      </c>
    </row>
    <row r="746" spans="1:11">
      <c r="A746" s="1" t="s">
        <v>770</v>
      </c>
      <c r="B746" s="2">
        <v>45933</v>
      </c>
      <c r="C746" s="1" t="s">
        <v>22</v>
      </c>
      <c r="D746" s="1" t="s">
        <v>29</v>
      </c>
      <c r="E746" s="1" t="s">
        <v>14</v>
      </c>
      <c r="F746" s="1">
        <v>129</v>
      </c>
      <c r="G746" s="1">
        <v>33.18</v>
      </c>
      <c r="H746" s="1">
        <v>4280.22</v>
      </c>
      <c r="I746" s="1">
        <v>3136.93</v>
      </c>
      <c r="J746" s="1">
        <v>1143.29</v>
      </c>
      <c r="K746" s="8" t="str">
        <f t="shared" si="11"/>
        <v>Oct</v>
      </c>
    </row>
    <row r="747" spans="1:11">
      <c r="A747" s="1" t="s">
        <v>771</v>
      </c>
      <c r="B747" s="2">
        <v>45732</v>
      </c>
      <c r="C747" s="1" t="s">
        <v>36</v>
      </c>
      <c r="D747" s="1" t="s">
        <v>13</v>
      </c>
      <c r="E747" s="1" t="s">
        <v>14</v>
      </c>
      <c r="F747" s="1">
        <v>208</v>
      </c>
      <c r="G747" s="1">
        <v>34.11</v>
      </c>
      <c r="H747" s="1">
        <v>7094.88</v>
      </c>
      <c r="I747" s="1">
        <v>5598.68</v>
      </c>
      <c r="J747" s="1">
        <v>1496.2</v>
      </c>
      <c r="K747" s="8" t="str">
        <f t="shared" si="11"/>
        <v>Mar</v>
      </c>
    </row>
    <row r="748" spans="1:11">
      <c r="A748" s="1" t="s">
        <v>772</v>
      </c>
      <c r="B748" s="2">
        <v>45994</v>
      </c>
      <c r="C748" s="1" t="s">
        <v>28</v>
      </c>
      <c r="D748" s="1" t="s">
        <v>29</v>
      </c>
      <c r="E748" s="1" t="s">
        <v>26</v>
      </c>
      <c r="F748" s="1">
        <v>103</v>
      </c>
      <c r="G748" s="1">
        <v>30.99</v>
      </c>
      <c r="H748" s="1">
        <v>3191.97</v>
      </c>
      <c r="I748" s="1">
        <v>1925.18</v>
      </c>
      <c r="J748" s="1">
        <v>1266.79</v>
      </c>
      <c r="K748" s="8" t="str">
        <f t="shared" si="11"/>
        <v>Dec</v>
      </c>
    </row>
    <row r="749" spans="1:11">
      <c r="A749" s="1" t="s">
        <v>773</v>
      </c>
      <c r="B749" s="2">
        <v>45888</v>
      </c>
      <c r="C749" s="1" t="s">
        <v>22</v>
      </c>
      <c r="D749" s="1" t="s">
        <v>13</v>
      </c>
      <c r="E749" s="1" t="s">
        <v>14</v>
      </c>
      <c r="F749" s="1">
        <v>121</v>
      </c>
      <c r="G749" s="1">
        <v>35.5</v>
      </c>
      <c r="H749" s="1">
        <v>4295.5</v>
      </c>
      <c r="I749" s="1">
        <v>2822.29</v>
      </c>
      <c r="J749" s="1">
        <v>1473.21</v>
      </c>
      <c r="K749" s="8" t="str">
        <f t="shared" si="11"/>
        <v>Aug</v>
      </c>
    </row>
    <row r="750" spans="1:11">
      <c r="A750" s="1" t="s">
        <v>774</v>
      </c>
      <c r="B750" s="2">
        <v>45818</v>
      </c>
      <c r="C750" s="1" t="s">
        <v>36</v>
      </c>
      <c r="D750" s="1" t="s">
        <v>13</v>
      </c>
      <c r="E750" s="1" t="s">
        <v>26</v>
      </c>
      <c r="F750" s="1">
        <v>112</v>
      </c>
      <c r="G750" s="1">
        <v>38.18</v>
      </c>
      <c r="H750" s="1">
        <v>4276.16</v>
      </c>
      <c r="I750" s="1">
        <v>2909.49</v>
      </c>
      <c r="J750" s="1">
        <v>1366.67</v>
      </c>
      <c r="K750" s="8" t="str">
        <f t="shared" si="11"/>
        <v>Jun</v>
      </c>
    </row>
    <row r="751" spans="1:11">
      <c r="A751" s="1" t="s">
        <v>775</v>
      </c>
      <c r="B751" s="2">
        <v>45842</v>
      </c>
      <c r="C751" s="1" t="s">
        <v>12</v>
      </c>
      <c r="D751" s="1" t="s">
        <v>29</v>
      </c>
      <c r="E751" s="1" t="s">
        <v>18</v>
      </c>
      <c r="F751" s="1">
        <v>257</v>
      </c>
      <c r="G751" s="1">
        <v>16.989999999999998</v>
      </c>
      <c r="H751" s="1">
        <v>4366.43</v>
      </c>
      <c r="I751" s="1">
        <v>3036.46</v>
      </c>
      <c r="J751" s="1">
        <v>1329.97</v>
      </c>
      <c r="K751" s="8" t="str">
        <f t="shared" si="11"/>
        <v>Jul</v>
      </c>
    </row>
    <row r="752" spans="1:11">
      <c r="A752" s="1" t="s">
        <v>776</v>
      </c>
      <c r="B752" s="2">
        <v>46002</v>
      </c>
      <c r="C752" s="1" t="s">
        <v>28</v>
      </c>
      <c r="D752" s="1" t="s">
        <v>13</v>
      </c>
      <c r="E752" s="1" t="s">
        <v>14</v>
      </c>
      <c r="F752" s="1">
        <v>118</v>
      </c>
      <c r="G752" s="1">
        <v>28.64</v>
      </c>
      <c r="H752" s="1">
        <v>3379.52</v>
      </c>
      <c r="I752" s="1">
        <v>2173.96</v>
      </c>
      <c r="J752" s="1">
        <v>1205.56</v>
      </c>
      <c r="K752" s="8" t="str">
        <f t="shared" si="11"/>
        <v>Dec</v>
      </c>
    </row>
    <row r="753" spans="1:11">
      <c r="A753" s="1" t="s">
        <v>777</v>
      </c>
      <c r="B753" s="2">
        <v>45891</v>
      </c>
      <c r="C753" s="1" t="s">
        <v>31</v>
      </c>
      <c r="D753" s="1" t="s">
        <v>13</v>
      </c>
      <c r="E753" s="1" t="s">
        <v>18</v>
      </c>
      <c r="F753" s="1">
        <v>148</v>
      </c>
      <c r="G753" s="1">
        <v>16.79</v>
      </c>
      <c r="H753" s="1">
        <v>2484.92</v>
      </c>
      <c r="I753" s="1">
        <v>1968.66</v>
      </c>
      <c r="J753" s="1">
        <v>516.26</v>
      </c>
      <c r="K753" s="8" t="str">
        <f t="shared" si="11"/>
        <v>Aug</v>
      </c>
    </row>
    <row r="754" spans="1:11">
      <c r="A754" s="1" t="s">
        <v>778</v>
      </c>
      <c r="B754" s="2">
        <v>45748</v>
      </c>
      <c r="C754" s="1" t="s">
        <v>12</v>
      </c>
      <c r="D754" s="1" t="s">
        <v>17</v>
      </c>
      <c r="E754" s="1" t="s">
        <v>20</v>
      </c>
      <c r="F754" s="1">
        <v>185</v>
      </c>
      <c r="G754" s="1">
        <v>22.39</v>
      </c>
      <c r="H754" s="1">
        <v>4142.1499999999996</v>
      </c>
      <c r="I754" s="1">
        <v>3072.59</v>
      </c>
      <c r="J754" s="1">
        <v>1069.56</v>
      </c>
      <c r="K754" s="8" t="str">
        <f t="shared" si="11"/>
        <v>Apr</v>
      </c>
    </row>
    <row r="755" spans="1:11">
      <c r="A755" s="1" t="s">
        <v>779</v>
      </c>
      <c r="B755" s="2">
        <v>45780</v>
      </c>
      <c r="C755" s="1" t="s">
        <v>12</v>
      </c>
      <c r="D755" s="1" t="s">
        <v>17</v>
      </c>
      <c r="E755" s="1" t="s">
        <v>18</v>
      </c>
      <c r="F755" s="1">
        <v>10</v>
      </c>
      <c r="G755" s="1">
        <v>14.64</v>
      </c>
      <c r="H755" s="1">
        <v>146.4</v>
      </c>
      <c r="I755" s="1">
        <v>111.61</v>
      </c>
      <c r="J755" s="1">
        <v>34.79</v>
      </c>
      <c r="K755" s="8" t="str">
        <f t="shared" si="11"/>
        <v>May</v>
      </c>
    </row>
    <row r="756" spans="1:11">
      <c r="A756" s="1" t="s">
        <v>780</v>
      </c>
      <c r="B756" s="2">
        <v>45945</v>
      </c>
      <c r="C756" s="1" t="s">
        <v>22</v>
      </c>
      <c r="D756" s="1" t="s">
        <v>29</v>
      </c>
      <c r="E756" s="1" t="s">
        <v>26</v>
      </c>
      <c r="F756" s="1">
        <v>290</v>
      </c>
      <c r="G756" s="1">
        <v>31.35</v>
      </c>
      <c r="H756" s="1">
        <v>9091.5</v>
      </c>
      <c r="I756" s="1">
        <v>5705.26</v>
      </c>
      <c r="J756" s="1">
        <v>3386.24</v>
      </c>
      <c r="K756" s="8" t="str">
        <f t="shared" si="11"/>
        <v>Oct</v>
      </c>
    </row>
    <row r="757" spans="1:11">
      <c r="A757" s="1" t="s">
        <v>781</v>
      </c>
      <c r="B757" s="2">
        <v>45798</v>
      </c>
      <c r="C757" s="1" t="s">
        <v>12</v>
      </c>
      <c r="D757" s="1" t="s">
        <v>13</v>
      </c>
      <c r="E757" s="1" t="s">
        <v>23</v>
      </c>
      <c r="F757" s="1">
        <v>223</v>
      </c>
      <c r="G757" s="1">
        <v>14.47</v>
      </c>
      <c r="H757" s="1">
        <v>3226.81</v>
      </c>
      <c r="I757" s="1">
        <v>2024.55</v>
      </c>
      <c r="J757" s="1">
        <v>1202.26</v>
      </c>
      <c r="K757" s="8" t="str">
        <f t="shared" si="11"/>
        <v>May</v>
      </c>
    </row>
    <row r="758" spans="1:11">
      <c r="A758" s="1" t="s">
        <v>782</v>
      </c>
      <c r="B758" s="2">
        <v>45822</v>
      </c>
      <c r="C758" s="1" t="s">
        <v>16</v>
      </c>
      <c r="D758" s="1" t="s">
        <v>29</v>
      </c>
      <c r="E758" s="1" t="s">
        <v>18</v>
      </c>
      <c r="F758" s="1">
        <v>39</v>
      </c>
      <c r="G758" s="1">
        <v>15.03</v>
      </c>
      <c r="H758" s="1">
        <v>586.16999999999996</v>
      </c>
      <c r="I758" s="1">
        <v>401.27</v>
      </c>
      <c r="J758" s="1">
        <v>184.9</v>
      </c>
      <c r="K758" s="8" t="str">
        <f t="shared" si="11"/>
        <v>Jun</v>
      </c>
    </row>
    <row r="759" spans="1:11">
      <c r="A759" s="1" t="s">
        <v>783</v>
      </c>
      <c r="B759" s="2">
        <v>45867</v>
      </c>
      <c r="C759" s="1" t="s">
        <v>22</v>
      </c>
      <c r="D759" s="1" t="s">
        <v>29</v>
      </c>
      <c r="E759" s="1" t="s">
        <v>14</v>
      </c>
      <c r="F759" s="1">
        <v>139</v>
      </c>
      <c r="G759" s="1">
        <v>36.65</v>
      </c>
      <c r="H759" s="1">
        <v>5094.3500000000004</v>
      </c>
      <c r="I759" s="1">
        <v>3730.8</v>
      </c>
      <c r="J759" s="1">
        <v>1363.55</v>
      </c>
      <c r="K759" s="8" t="str">
        <f t="shared" si="11"/>
        <v>Jul</v>
      </c>
    </row>
    <row r="760" spans="1:11">
      <c r="A760" s="1" t="s">
        <v>784</v>
      </c>
      <c r="B760" s="2">
        <v>46022</v>
      </c>
      <c r="C760" s="1" t="s">
        <v>16</v>
      </c>
      <c r="D760" s="1" t="s">
        <v>13</v>
      </c>
      <c r="E760" s="1" t="s">
        <v>14</v>
      </c>
      <c r="F760" s="1">
        <v>218</v>
      </c>
      <c r="G760" s="1">
        <v>12.85</v>
      </c>
      <c r="H760" s="1">
        <v>2801.3</v>
      </c>
      <c r="I760" s="1">
        <v>1924.82</v>
      </c>
      <c r="J760" s="1">
        <v>876.48</v>
      </c>
      <c r="K760" s="8" t="str">
        <f t="shared" si="11"/>
        <v>Dec</v>
      </c>
    </row>
    <row r="761" spans="1:11">
      <c r="A761" s="1" t="s">
        <v>785</v>
      </c>
      <c r="B761" s="2">
        <v>45694</v>
      </c>
      <c r="C761" s="1" t="s">
        <v>22</v>
      </c>
      <c r="D761" s="1" t="s">
        <v>17</v>
      </c>
      <c r="E761" s="1" t="s">
        <v>26</v>
      </c>
      <c r="F761" s="1">
        <v>157</v>
      </c>
      <c r="G761" s="1">
        <v>32.6</v>
      </c>
      <c r="H761" s="1">
        <v>5118.2</v>
      </c>
      <c r="I761" s="1">
        <v>3250.24</v>
      </c>
      <c r="J761" s="1">
        <v>1867.96</v>
      </c>
      <c r="K761" s="8" t="str">
        <f t="shared" si="11"/>
        <v>Feb</v>
      </c>
    </row>
    <row r="762" spans="1:11">
      <c r="A762" s="1" t="s">
        <v>786</v>
      </c>
      <c r="B762" s="2">
        <v>45929</v>
      </c>
      <c r="C762" s="1" t="s">
        <v>36</v>
      </c>
      <c r="D762" s="1" t="s">
        <v>29</v>
      </c>
      <c r="E762" s="1" t="s">
        <v>23</v>
      </c>
      <c r="F762" s="1">
        <v>202</v>
      </c>
      <c r="G762" s="1">
        <v>35.46</v>
      </c>
      <c r="H762" s="1">
        <v>7162.92</v>
      </c>
      <c r="I762" s="1">
        <v>5453.91</v>
      </c>
      <c r="J762" s="1">
        <v>1709.01</v>
      </c>
      <c r="K762" s="8" t="str">
        <f t="shared" si="11"/>
        <v>Sep</v>
      </c>
    </row>
    <row r="763" spans="1:11">
      <c r="A763" s="1" t="s">
        <v>787</v>
      </c>
      <c r="B763" s="2">
        <v>45956</v>
      </c>
      <c r="C763" s="1" t="s">
        <v>12</v>
      </c>
      <c r="D763" s="1" t="s">
        <v>29</v>
      </c>
      <c r="E763" s="1" t="s">
        <v>33</v>
      </c>
      <c r="F763" s="1">
        <v>69</v>
      </c>
      <c r="G763" s="1">
        <v>23.39</v>
      </c>
      <c r="H763" s="1">
        <v>1613.91</v>
      </c>
      <c r="I763" s="1">
        <v>1129.6099999999999</v>
      </c>
      <c r="J763" s="1">
        <v>484.3</v>
      </c>
      <c r="K763" s="8" t="str">
        <f t="shared" si="11"/>
        <v>Oct</v>
      </c>
    </row>
    <row r="764" spans="1:11">
      <c r="A764" s="1" t="s">
        <v>788</v>
      </c>
      <c r="B764" s="2">
        <v>45847</v>
      </c>
      <c r="C764" s="1" t="s">
        <v>16</v>
      </c>
      <c r="D764" s="1" t="s">
        <v>29</v>
      </c>
      <c r="E764" s="1" t="s">
        <v>14</v>
      </c>
      <c r="F764" s="1">
        <v>277</v>
      </c>
      <c r="G764" s="1">
        <v>38.869999999999997</v>
      </c>
      <c r="H764" s="1">
        <v>10766.99</v>
      </c>
      <c r="I764" s="1">
        <v>6875.12</v>
      </c>
      <c r="J764" s="1">
        <v>3891.87</v>
      </c>
      <c r="K764" s="8" t="str">
        <f t="shared" si="11"/>
        <v>Jul</v>
      </c>
    </row>
    <row r="765" spans="1:11">
      <c r="A765" s="1" t="s">
        <v>789</v>
      </c>
      <c r="B765" s="2">
        <v>45950</v>
      </c>
      <c r="C765" s="1" t="s">
        <v>31</v>
      </c>
      <c r="D765" s="1" t="s">
        <v>29</v>
      </c>
      <c r="E765" s="1" t="s">
        <v>20</v>
      </c>
      <c r="F765" s="1">
        <v>205</v>
      </c>
      <c r="G765" s="1">
        <v>15.45</v>
      </c>
      <c r="H765" s="1">
        <v>3167.25</v>
      </c>
      <c r="I765" s="1">
        <v>2338.7600000000002</v>
      </c>
      <c r="J765" s="1">
        <v>828.49</v>
      </c>
      <c r="K765" s="8" t="str">
        <f t="shared" si="11"/>
        <v>Oct</v>
      </c>
    </row>
    <row r="766" spans="1:11">
      <c r="A766" s="1" t="s">
        <v>790</v>
      </c>
      <c r="B766" s="2">
        <v>45868</v>
      </c>
      <c r="C766" s="1" t="s">
        <v>16</v>
      </c>
      <c r="D766" s="1" t="s">
        <v>29</v>
      </c>
      <c r="E766" s="1" t="s">
        <v>33</v>
      </c>
      <c r="F766" s="1">
        <v>197</v>
      </c>
      <c r="G766" s="1">
        <v>38.69</v>
      </c>
      <c r="H766" s="1">
        <v>7621.93</v>
      </c>
      <c r="I766" s="1">
        <v>4965.59</v>
      </c>
      <c r="J766" s="1">
        <v>2656.34</v>
      </c>
      <c r="K766" s="8" t="str">
        <f t="shared" si="11"/>
        <v>Jul</v>
      </c>
    </row>
    <row r="767" spans="1:11">
      <c r="A767" s="1" t="s">
        <v>791</v>
      </c>
      <c r="B767" s="2">
        <v>45687</v>
      </c>
      <c r="C767" s="1" t="s">
        <v>16</v>
      </c>
      <c r="D767" s="1" t="s">
        <v>17</v>
      </c>
      <c r="E767" s="1" t="s">
        <v>18</v>
      </c>
      <c r="F767" s="1">
        <v>251</v>
      </c>
      <c r="G767" s="1">
        <v>16.37</v>
      </c>
      <c r="H767" s="1">
        <v>4108.87</v>
      </c>
      <c r="I767" s="1">
        <v>2734.96</v>
      </c>
      <c r="J767" s="1">
        <v>1373.91</v>
      </c>
      <c r="K767" s="8" t="str">
        <f t="shared" si="11"/>
        <v>Jan</v>
      </c>
    </row>
    <row r="768" spans="1:11">
      <c r="A768" s="1" t="s">
        <v>792</v>
      </c>
      <c r="B768" s="2">
        <v>45832</v>
      </c>
      <c r="C768" s="1" t="s">
        <v>22</v>
      </c>
      <c r="D768" s="1" t="s">
        <v>17</v>
      </c>
      <c r="E768" s="1" t="s">
        <v>26</v>
      </c>
      <c r="F768" s="1">
        <v>102</v>
      </c>
      <c r="G768" s="1">
        <v>23.97</v>
      </c>
      <c r="H768" s="1">
        <v>2444.94</v>
      </c>
      <c r="I768" s="1">
        <v>1625.53</v>
      </c>
      <c r="J768" s="1">
        <v>819.41</v>
      </c>
      <c r="K768" s="8" t="str">
        <f t="shared" si="11"/>
        <v>Jun</v>
      </c>
    </row>
    <row r="769" spans="1:11">
      <c r="A769" s="1" t="s">
        <v>793</v>
      </c>
      <c r="B769" s="2">
        <v>45764</v>
      </c>
      <c r="C769" s="1" t="s">
        <v>36</v>
      </c>
      <c r="D769" s="1" t="s">
        <v>13</v>
      </c>
      <c r="E769" s="1" t="s">
        <v>14</v>
      </c>
      <c r="F769" s="1">
        <v>287</v>
      </c>
      <c r="G769" s="1">
        <v>22.27</v>
      </c>
      <c r="H769" s="1">
        <v>6391.49</v>
      </c>
      <c r="I769" s="1">
        <v>5064.09</v>
      </c>
      <c r="J769" s="1">
        <v>1327.4</v>
      </c>
      <c r="K769" s="8" t="str">
        <f t="shared" si="11"/>
        <v>Apr</v>
      </c>
    </row>
    <row r="770" spans="1:11">
      <c r="A770" s="1" t="s">
        <v>794</v>
      </c>
      <c r="B770" s="2">
        <v>46020</v>
      </c>
      <c r="C770" s="1" t="s">
        <v>31</v>
      </c>
      <c r="D770" s="1" t="s">
        <v>13</v>
      </c>
      <c r="E770" s="1" t="s">
        <v>20</v>
      </c>
      <c r="F770" s="1">
        <v>194</v>
      </c>
      <c r="G770" s="1">
        <v>21.4</v>
      </c>
      <c r="H770" s="1">
        <v>4151.6000000000004</v>
      </c>
      <c r="I770" s="1">
        <v>2901.42</v>
      </c>
      <c r="J770" s="1">
        <v>1250.18</v>
      </c>
      <c r="K770" s="8" t="str">
        <f t="shared" ref="K770:K833" si="12">TEXT(B770,"mmm")</f>
        <v>Dec</v>
      </c>
    </row>
    <row r="771" spans="1:11">
      <c r="A771" s="1" t="s">
        <v>795</v>
      </c>
      <c r="B771" s="2">
        <v>45985</v>
      </c>
      <c r="C771" s="1" t="s">
        <v>12</v>
      </c>
      <c r="D771" s="1" t="s">
        <v>13</v>
      </c>
      <c r="E771" s="1" t="s">
        <v>18</v>
      </c>
      <c r="F771" s="1">
        <v>120</v>
      </c>
      <c r="G771" s="1">
        <v>36.369999999999997</v>
      </c>
      <c r="H771" s="1">
        <v>4364.3999999999996</v>
      </c>
      <c r="I771" s="1">
        <v>2717.36</v>
      </c>
      <c r="J771" s="1">
        <v>1647.04</v>
      </c>
      <c r="K771" s="8" t="str">
        <f t="shared" si="12"/>
        <v>Nov</v>
      </c>
    </row>
    <row r="772" spans="1:11">
      <c r="A772" s="1" t="s">
        <v>796</v>
      </c>
      <c r="B772" s="2">
        <v>45973</v>
      </c>
      <c r="C772" s="1" t="s">
        <v>28</v>
      </c>
      <c r="D772" s="1" t="s">
        <v>17</v>
      </c>
      <c r="E772" s="1" t="s">
        <v>23</v>
      </c>
      <c r="F772" s="1">
        <v>225</v>
      </c>
      <c r="G772" s="1">
        <v>29.39</v>
      </c>
      <c r="H772" s="1">
        <v>6612.75</v>
      </c>
      <c r="I772" s="1">
        <v>4588.68</v>
      </c>
      <c r="J772" s="1">
        <v>2024.07</v>
      </c>
      <c r="K772" s="8" t="str">
        <f t="shared" si="12"/>
        <v>Nov</v>
      </c>
    </row>
    <row r="773" spans="1:11">
      <c r="A773" s="1" t="s">
        <v>797</v>
      </c>
      <c r="B773" s="2">
        <v>45935</v>
      </c>
      <c r="C773" s="1" t="s">
        <v>31</v>
      </c>
      <c r="D773" s="1" t="s">
        <v>13</v>
      </c>
      <c r="E773" s="1" t="s">
        <v>18</v>
      </c>
      <c r="F773" s="1">
        <v>192</v>
      </c>
      <c r="G773" s="1">
        <v>20.350000000000001</v>
      </c>
      <c r="H773" s="1">
        <v>3907.2</v>
      </c>
      <c r="I773" s="1">
        <v>2936.98</v>
      </c>
      <c r="J773" s="1">
        <v>970.22</v>
      </c>
      <c r="K773" s="8" t="str">
        <f t="shared" si="12"/>
        <v>Oct</v>
      </c>
    </row>
    <row r="774" spans="1:11">
      <c r="A774" s="1" t="s">
        <v>798</v>
      </c>
      <c r="B774" s="2">
        <v>46012</v>
      </c>
      <c r="C774" s="1" t="s">
        <v>28</v>
      </c>
      <c r="D774" s="1" t="s">
        <v>17</v>
      </c>
      <c r="E774" s="1" t="s">
        <v>26</v>
      </c>
      <c r="F774" s="1">
        <v>19</v>
      </c>
      <c r="G774" s="1">
        <v>30.29</v>
      </c>
      <c r="H774" s="1">
        <v>575.51</v>
      </c>
      <c r="I774" s="1">
        <v>435.2</v>
      </c>
      <c r="J774" s="1">
        <v>140.31</v>
      </c>
      <c r="K774" s="8" t="str">
        <f t="shared" si="12"/>
        <v>Dec</v>
      </c>
    </row>
    <row r="775" spans="1:11">
      <c r="A775" s="1" t="s">
        <v>799</v>
      </c>
      <c r="B775" s="2">
        <v>45980</v>
      </c>
      <c r="C775" s="1" t="s">
        <v>36</v>
      </c>
      <c r="D775" s="1" t="s">
        <v>13</v>
      </c>
      <c r="E775" s="1" t="s">
        <v>33</v>
      </c>
      <c r="F775" s="1">
        <v>159</v>
      </c>
      <c r="G775" s="1">
        <v>35.07</v>
      </c>
      <c r="H775" s="1">
        <v>5576.13</v>
      </c>
      <c r="I775" s="1">
        <v>4061.75</v>
      </c>
      <c r="J775" s="1">
        <v>1514.38</v>
      </c>
      <c r="K775" s="8" t="str">
        <f t="shared" si="12"/>
        <v>Nov</v>
      </c>
    </row>
    <row r="776" spans="1:11">
      <c r="A776" s="1" t="s">
        <v>800</v>
      </c>
      <c r="B776" s="2">
        <v>45961</v>
      </c>
      <c r="C776" s="1" t="s">
        <v>36</v>
      </c>
      <c r="D776" s="1" t="s">
        <v>17</v>
      </c>
      <c r="E776" s="1" t="s">
        <v>20</v>
      </c>
      <c r="F776" s="1">
        <v>110</v>
      </c>
      <c r="G776" s="1">
        <v>21.08</v>
      </c>
      <c r="H776" s="1">
        <v>2318.8000000000002</v>
      </c>
      <c r="I776" s="1">
        <v>1785.61</v>
      </c>
      <c r="J776" s="1">
        <v>533.19000000000005</v>
      </c>
      <c r="K776" s="8" t="str">
        <f t="shared" si="12"/>
        <v>Oct</v>
      </c>
    </row>
    <row r="777" spans="1:11">
      <c r="A777" s="1" t="s">
        <v>801</v>
      </c>
      <c r="B777" s="2">
        <v>45691</v>
      </c>
      <c r="C777" s="1" t="s">
        <v>12</v>
      </c>
      <c r="D777" s="1" t="s">
        <v>13</v>
      </c>
      <c r="E777" s="1" t="s">
        <v>20</v>
      </c>
      <c r="F777" s="1">
        <v>242</v>
      </c>
      <c r="G777" s="1">
        <v>35.49</v>
      </c>
      <c r="H777" s="1">
        <v>8588.58</v>
      </c>
      <c r="I777" s="1">
        <v>6656.37</v>
      </c>
      <c r="J777" s="1">
        <v>1932.21</v>
      </c>
      <c r="K777" s="8" t="str">
        <f t="shared" si="12"/>
        <v>Feb</v>
      </c>
    </row>
    <row r="778" spans="1:11">
      <c r="A778" s="1" t="s">
        <v>802</v>
      </c>
      <c r="B778" s="2">
        <v>45665</v>
      </c>
      <c r="C778" s="1" t="s">
        <v>16</v>
      </c>
      <c r="D778" s="1" t="s">
        <v>13</v>
      </c>
      <c r="E778" s="1" t="s">
        <v>26</v>
      </c>
      <c r="F778" s="1">
        <v>283</v>
      </c>
      <c r="G778" s="1">
        <v>22.37</v>
      </c>
      <c r="H778" s="1">
        <v>6330.71</v>
      </c>
      <c r="I778" s="1">
        <v>4508.3</v>
      </c>
      <c r="J778" s="1">
        <v>1822.41</v>
      </c>
      <c r="K778" s="8" t="str">
        <f t="shared" si="12"/>
        <v>Jan</v>
      </c>
    </row>
    <row r="779" spans="1:11">
      <c r="A779" s="1" t="s">
        <v>803</v>
      </c>
      <c r="B779" s="2">
        <v>45746</v>
      </c>
      <c r="C779" s="1" t="s">
        <v>22</v>
      </c>
      <c r="D779" s="1" t="s">
        <v>13</v>
      </c>
      <c r="E779" s="1" t="s">
        <v>14</v>
      </c>
      <c r="F779" s="1">
        <v>53</v>
      </c>
      <c r="G779" s="1">
        <v>30.88</v>
      </c>
      <c r="H779" s="1">
        <v>1636.64</v>
      </c>
      <c r="I779" s="1">
        <v>983.27</v>
      </c>
      <c r="J779" s="1">
        <v>653.37</v>
      </c>
      <c r="K779" s="8" t="str">
        <f t="shared" si="12"/>
        <v>Mar</v>
      </c>
    </row>
    <row r="780" spans="1:11">
      <c r="A780" s="1" t="s">
        <v>804</v>
      </c>
      <c r="B780" s="2">
        <v>46022</v>
      </c>
      <c r="C780" s="1" t="s">
        <v>16</v>
      </c>
      <c r="D780" s="1" t="s">
        <v>13</v>
      </c>
      <c r="E780" s="1" t="s">
        <v>20</v>
      </c>
      <c r="F780" s="1">
        <v>131</v>
      </c>
      <c r="G780" s="1">
        <v>10.58</v>
      </c>
      <c r="H780" s="1">
        <v>1385.98</v>
      </c>
      <c r="I780" s="1">
        <v>863.25</v>
      </c>
      <c r="J780" s="1">
        <v>522.73</v>
      </c>
      <c r="K780" s="8" t="str">
        <f t="shared" si="12"/>
        <v>Dec</v>
      </c>
    </row>
    <row r="781" spans="1:11">
      <c r="A781" s="1" t="s">
        <v>805</v>
      </c>
      <c r="B781" s="2">
        <v>45898</v>
      </c>
      <c r="C781" s="1" t="s">
        <v>31</v>
      </c>
      <c r="D781" s="1" t="s">
        <v>17</v>
      </c>
      <c r="E781" s="1" t="s">
        <v>33</v>
      </c>
      <c r="F781" s="1">
        <v>181</v>
      </c>
      <c r="G781" s="1">
        <v>12.2</v>
      </c>
      <c r="H781" s="1">
        <v>2208.1999999999998</v>
      </c>
      <c r="I781" s="1">
        <v>1479.02</v>
      </c>
      <c r="J781" s="1">
        <v>729.18</v>
      </c>
      <c r="K781" s="8" t="str">
        <f t="shared" si="12"/>
        <v>Aug</v>
      </c>
    </row>
    <row r="782" spans="1:11">
      <c r="A782" s="1" t="s">
        <v>806</v>
      </c>
      <c r="B782" s="2">
        <v>45903</v>
      </c>
      <c r="C782" s="1" t="s">
        <v>31</v>
      </c>
      <c r="D782" s="1" t="s">
        <v>13</v>
      </c>
      <c r="E782" s="1" t="s">
        <v>14</v>
      </c>
      <c r="F782" s="1">
        <v>142</v>
      </c>
      <c r="G782" s="1">
        <v>19.989999999999998</v>
      </c>
      <c r="H782" s="1">
        <v>2838.58</v>
      </c>
      <c r="I782" s="1">
        <v>2229.5500000000002</v>
      </c>
      <c r="J782" s="1">
        <v>609.03</v>
      </c>
      <c r="K782" s="8" t="str">
        <f t="shared" si="12"/>
        <v>Sep</v>
      </c>
    </row>
    <row r="783" spans="1:11">
      <c r="A783" s="1" t="s">
        <v>807</v>
      </c>
      <c r="B783" s="2">
        <v>45704</v>
      </c>
      <c r="C783" s="1" t="s">
        <v>31</v>
      </c>
      <c r="D783" s="1" t="s">
        <v>13</v>
      </c>
      <c r="E783" s="1" t="s">
        <v>33</v>
      </c>
      <c r="F783" s="1">
        <v>42</v>
      </c>
      <c r="G783" s="1">
        <v>28.72</v>
      </c>
      <c r="H783" s="1">
        <v>1206.24</v>
      </c>
      <c r="I783" s="1">
        <v>891.8</v>
      </c>
      <c r="J783" s="1">
        <v>314.44</v>
      </c>
      <c r="K783" s="8" t="str">
        <f t="shared" si="12"/>
        <v>Feb</v>
      </c>
    </row>
    <row r="784" spans="1:11">
      <c r="A784" s="1" t="s">
        <v>808</v>
      </c>
      <c r="B784" s="2">
        <v>45826</v>
      </c>
      <c r="C784" s="1" t="s">
        <v>12</v>
      </c>
      <c r="D784" s="1" t="s">
        <v>29</v>
      </c>
      <c r="E784" s="1" t="s">
        <v>26</v>
      </c>
      <c r="F784" s="1">
        <v>184</v>
      </c>
      <c r="G784" s="1">
        <v>25.05</v>
      </c>
      <c r="H784" s="1">
        <v>4609.2</v>
      </c>
      <c r="I784" s="1">
        <v>2895.56</v>
      </c>
      <c r="J784" s="1">
        <v>1713.64</v>
      </c>
      <c r="K784" s="8" t="str">
        <f t="shared" si="12"/>
        <v>Jun</v>
      </c>
    </row>
    <row r="785" spans="1:11">
      <c r="A785" s="1" t="s">
        <v>809</v>
      </c>
      <c r="B785" s="2">
        <v>45736</v>
      </c>
      <c r="C785" s="1" t="s">
        <v>22</v>
      </c>
      <c r="D785" s="1" t="s">
        <v>17</v>
      </c>
      <c r="E785" s="1" t="s">
        <v>26</v>
      </c>
      <c r="F785" s="1">
        <v>226</v>
      </c>
      <c r="G785" s="1">
        <v>21.56</v>
      </c>
      <c r="H785" s="1">
        <v>4872.5600000000004</v>
      </c>
      <c r="I785" s="1">
        <v>3622.27</v>
      </c>
      <c r="J785" s="1">
        <v>1250.29</v>
      </c>
      <c r="K785" s="8" t="str">
        <f t="shared" si="12"/>
        <v>Mar</v>
      </c>
    </row>
    <row r="786" spans="1:11">
      <c r="A786" s="1" t="s">
        <v>810</v>
      </c>
      <c r="B786" s="2">
        <v>45899</v>
      </c>
      <c r="C786" s="1" t="s">
        <v>36</v>
      </c>
      <c r="D786" s="1" t="s">
        <v>17</v>
      </c>
      <c r="E786" s="1" t="s">
        <v>18</v>
      </c>
      <c r="F786" s="1">
        <v>58</v>
      </c>
      <c r="G786" s="1">
        <v>11.97</v>
      </c>
      <c r="H786" s="1">
        <v>694.26</v>
      </c>
      <c r="I786" s="1">
        <v>437.7</v>
      </c>
      <c r="J786" s="1">
        <v>256.56</v>
      </c>
      <c r="K786" s="8" t="str">
        <f t="shared" si="12"/>
        <v>Aug</v>
      </c>
    </row>
    <row r="787" spans="1:11">
      <c r="A787" s="1" t="s">
        <v>811</v>
      </c>
      <c r="B787" s="2">
        <v>45776</v>
      </c>
      <c r="C787" s="1" t="s">
        <v>28</v>
      </c>
      <c r="D787" s="1" t="s">
        <v>13</v>
      </c>
      <c r="E787" s="1" t="s">
        <v>26</v>
      </c>
      <c r="F787" s="1">
        <v>57</v>
      </c>
      <c r="G787" s="1">
        <v>34.75</v>
      </c>
      <c r="H787" s="1">
        <v>1980.75</v>
      </c>
      <c r="I787" s="1">
        <v>1375.39</v>
      </c>
      <c r="J787" s="1">
        <v>605.36</v>
      </c>
      <c r="K787" s="8" t="str">
        <f t="shared" si="12"/>
        <v>Apr</v>
      </c>
    </row>
    <row r="788" spans="1:11">
      <c r="A788" s="1" t="s">
        <v>812</v>
      </c>
      <c r="B788" s="2">
        <v>45756</v>
      </c>
      <c r="C788" s="1" t="s">
        <v>22</v>
      </c>
      <c r="D788" s="1" t="s">
        <v>17</v>
      </c>
      <c r="E788" s="1" t="s">
        <v>23</v>
      </c>
      <c r="F788" s="1">
        <v>120</v>
      </c>
      <c r="G788" s="1">
        <v>13.24</v>
      </c>
      <c r="H788" s="1">
        <v>1588.8</v>
      </c>
      <c r="I788" s="1">
        <v>1154.73</v>
      </c>
      <c r="J788" s="1">
        <v>434.07</v>
      </c>
      <c r="K788" s="8" t="str">
        <f t="shared" si="12"/>
        <v>Apr</v>
      </c>
    </row>
    <row r="789" spans="1:11">
      <c r="A789" s="1" t="s">
        <v>813</v>
      </c>
      <c r="B789" s="2">
        <v>45874</v>
      </c>
      <c r="C789" s="1" t="s">
        <v>16</v>
      </c>
      <c r="D789" s="1" t="s">
        <v>13</v>
      </c>
      <c r="E789" s="1" t="s">
        <v>33</v>
      </c>
      <c r="F789" s="1">
        <v>277</v>
      </c>
      <c r="G789" s="1">
        <v>25.99</v>
      </c>
      <c r="H789" s="1">
        <v>7199.23</v>
      </c>
      <c r="I789" s="1">
        <v>5362.6</v>
      </c>
      <c r="J789" s="1">
        <v>1836.63</v>
      </c>
      <c r="K789" s="8" t="str">
        <f t="shared" si="12"/>
        <v>Aug</v>
      </c>
    </row>
    <row r="790" spans="1:11">
      <c r="A790" s="1" t="s">
        <v>814</v>
      </c>
      <c r="B790" s="2">
        <v>45670</v>
      </c>
      <c r="C790" s="1" t="s">
        <v>36</v>
      </c>
      <c r="D790" s="1" t="s">
        <v>29</v>
      </c>
      <c r="E790" s="1" t="s">
        <v>18</v>
      </c>
      <c r="F790" s="1">
        <v>123</v>
      </c>
      <c r="G790" s="1">
        <v>25.38</v>
      </c>
      <c r="H790" s="1">
        <v>3121.74</v>
      </c>
      <c r="I790" s="1">
        <v>2005.07</v>
      </c>
      <c r="J790" s="1">
        <v>1116.67</v>
      </c>
      <c r="K790" s="8" t="str">
        <f t="shared" si="12"/>
        <v>Jan</v>
      </c>
    </row>
    <row r="791" spans="1:11">
      <c r="A791" s="1" t="s">
        <v>815</v>
      </c>
      <c r="B791" s="2">
        <v>45972</v>
      </c>
      <c r="C791" s="1" t="s">
        <v>31</v>
      </c>
      <c r="D791" s="1" t="s">
        <v>29</v>
      </c>
      <c r="E791" s="1" t="s">
        <v>14</v>
      </c>
      <c r="F791" s="1">
        <v>108</v>
      </c>
      <c r="G791" s="1">
        <v>37.049999999999997</v>
      </c>
      <c r="H791" s="1">
        <v>4001.4</v>
      </c>
      <c r="I791" s="1">
        <v>2564.61</v>
      </c>
      <c r="J791" s="1">
        <v>1436.79</v>
      </c>
      <c r="K791" s="8" t="str">
        <f t="shared" si="12"/>
        <v>Nov</v>
      </c>
    </row>
    <row r="792" spans="1:11">
      <c r="A792" s="1" t="s">
        <v>816</v>
      </c>
      <c r="B792" s="2">
        <v>45725</v>
      </c>
      <c r="C792" s="1" t="s">
        <v>31</v>
      </c>
      <c r="D792" s="1" t="s">
        <v>29</v>
      </c>
      <c r="E792" s="1" t="s">
        <v>33</v>
      </c>
      <c r="F792" s="1">
        <v>90</v>
      </c>
      <c r="G792" s="1">
        <v>11.86</v>
      </c>
      <c r="H792" s="1">
        <v>1067.4000000000001</v>
      </c>
      <c r="I792" s="1">
        <v>739.27</v>
      </c>
      <c r="J792" s="1">
        <v>328.13</v>
      </c>
      <c r="K792" s="8" t="str">
        <f t="shared" si="12"/>
        <v>Mar</v>
      </c>
    </row>
    <row r="793" spans="1:11">
      <c r="A793" s="1" t="s">
        <v>817</v>
      </c>
      <c r="B793" s="2">
        <v>46006</v>
      </c>
      <c r="C793" s="1" t="s">
        <v>31</v>
      </c>
      <c r="D793" s="1" t="s">
        <v>13</v>
      </c>
      <c r="E793" s="1" t="s">
        <v>23</v>
      </c>
      <c r="F793" s="1">
        <v>168</v>
      </c>
      <c r="G793" s="1">
        <v>21.9</v>
      </c>
      <c r="H793" s="1">
        <v>3679.2</v>
      </c>
      <c r="I793" s="1">
        <v>2592.3000000000002</v>
      </c>
      <c r="J793" s="1">
        <v>1086.9000000000001</v>
      </c>
      <c r="K793" s="8" t="str">
        <f t="shared" si="12"/>
        <v>Dec</v>
      </c>
    </row>
    <row r="794" spans="1:11">
      <c r="A794" s="1" t="s">
        <v>818</v>
      </c>
      <c r="B794" s="2">
        <v>45819</v>
      </c>
      <c r="C794" s="1" t="s">
        <v>22</v>
      </c>
      <c r="D794" s="1" t="s">
        <v>13</v>
      </c>
      <c r="E794" s="1" t="s">
        <v>20</v>
      </c>
      <c r="F794" s="1">
        <v>55</v>
      </c>
      <c r="G794" s="1">
        <v>18.8</v>
      </c>
      <c r="H794" s="1">
        <v>1034</v>
      </c>
      <c r="I794" s="1">
        <v>687.62</v>
      </c>
      <c r="J794" s="1">
        <v>346.38</v>
      </c>
      <c r="K794" s="8" t="str">
        <f t="shared" si="12"/>
        <v>Jun</v>
      </c>
    </row>
    <row r="795" spans="1:11">
      <c r="A795" s="1" t="s">
        <v>819</v>
      </c>
      <c r="B795" s="2">
        <v>45980</v>
      </c>
      <c r="C795" s="1" t="s">
        <v>16</v>
      </c>
      <c r="D795" s="1" t="s">
        <v>29</v>
      </c>
      <c r="E795" s="1" t="s">
        <v>33</v>
      </c>
      <c r="F795" s="1">
        <v>135</v>
      </c>
      <c r="G795" s="1">
        <v>23.85</v>
      </c>
      <c r="H795" s="1">
        <v>3219.75</v>
      </c>
      <c r="I795" s="1">
        <v>2059.16</v>
      </c>
      <c r="J795" s="1">
        <v>1160.5899999999999</v>
      </c>
      <c r="K795" s="8" t="str">
        <f t="shared" si="12"/>
        <v>Nov</v>
      </c>
    </row>
    <row r="796" spans="1:11">
      <c r="A796" s="1" t="s">
        <v>820</v>
      </c>
      <c r="B796" s="2">
        <v>45924</v>
      </c>
      <c r="C796" s="1" t="s">
        <v>31</v>
      </c>
      <c r="D796" s="1" t="s">
        <v>13</v>
      </c>
      <c r="E796" s="1" t="s">
        <v>26</v>
      </c>
      <c r="F796" s="1">
        <v>195</v>
      </c>
      <c r="G796" s="1">
        <v>30.57</v>
      </c>
      <c r="H796" s="1">
        <v>5961.15</v>
      </c>
      <c r="I796" s="1">
        <v>4144.74</v>
      </c>
      <c r="J796" s="1">
        <v>1816.41</v>
      </c>
      <c r="K796" s="8" t="str">
        <f t="shared" si="12"/>
        <v>Sep</v>
      </c>
    </row>
    <row r="797" spans="1:11">
      <c r="A797" s="1" t="s">
        <v>821</v>
      </c>
      <c r="B797" s="2">
        <v>45995</v>
      </c>
      <c r="C797" s="1" t="s">
        <v>16</v>
      </c>
      <c r="D797" s="1" t="s">
        <v>17</v>
      </c>
      <c r="E797" s="1" t="s">
        <v>33</v>
      </c>
      <c r="F797" s="1">
        <v>45</v>
      </c>
      <c r="G797" s="1">
        <v>28.71</v>
      </c>
      <c r="H797" s="1">
        <v>1291.95</v>
      </c>
      <c r="I797" s="1">
        <v>888.16</v>
      </c>
      <c r="J797" s="1">
        <v>403.79</v>
      </c>
      <c r="K797" s="8" t="str">
        <f t="shared" si="12"/>
        <v>Dec</v>
      </c>
    </row>
    <row r="798" spans="1:11">
      <c r="A798" s="1" t="s">
        <v>822</v>
      </c>
      <c r="B798" s="2">
        <v>45920</v>
      </c>
      <c r="C798" s="1" t="s">
        <v>36</v>
      </c>
      <c r="D798" s="1" t="s">
        <v>17</v>
      </c>
      <c r="E798" s="1" t="s">
        <v>33</v>
      </c>
      <c r="F798" s="1">
        <v>123</v>
      </c>
      <c r="G798" s="1">
        <v>23.49</v>
      </c>
      <c r="H798" s="1">
        <v>2889.27</v>
      </c>
      <c r="I798" s="1">
        <v>2226.06</v>
      </c>
      <c r="J798" s="1">
        <v>663.21</v>
      </c>
      <c r="K798" s="8" t="str">
        <f t="shared" si="12"/>
        <v>Sep</v>
      </c>
    </row>
    <row r="799" spans="1:11">
      <c r="A799" s="1" t="s">
        <v>823</v>
      </c>
      <c r="B799" s="2">
        <v>45848</v>
      </c>
      <c r="C799" s="1" t="s">
        <v>31</v>
      </c>
      <c r="D799" s="1" t="s">
        <v>29</v>
      </c>
      <c r="E799" s="1" t="s">
        <v>26</v>
      </c>
      <c r="F799" s="1">
        <v>283</v>
      </c>
      <c r="G799" s="1">
        <v>23.41</v>
      </c>
      <c r="H799" s="1">
        <v>6625.03</v>
      </c>
      <c r="I799" s="1">
        <v>5204.05</v>
      </c>
      <c r="J799" s="1">
        <v>1420.98</v>
      </c>
      <c r="K799" s="8" t="str">
        <f t="shared" si="12"/>
        <v>Jul</v>
      </c>
    </row>
    <row r="800" spans="1:11">
      <c r="A800" s="1" t="s">
        <v>824</v>
      </c>
      <c r="B800" s="2">
        <v>45711</v>
      </c>
      <c r="C800" s="1" t="s">
        <v>22</v>
      </c>
      <c r="D800" s="1" t="s">
        <v>13</v>
      </c>
      <c r="E800" s="1" t="s">
        <v>23</v>
      </c>
      <c r="F800" s="1">
        <v>243</v>
      </c>
      <c r="G800" s="1">
        <v>12.64</v>
      </c>
      <c r="H800" s="1">
        <v>3071.52</v>
      </c>
      <c r="I800" s="1">
        <v>2409.58</v>
      </c>
      <c r="J800" s="1">
        <v>661.94</v>
      </c>
      <c r="K800" s="8" t="str">
        <f t="shared" si="12"/>
        <v>Feb</v>
      </c>
    </row>
    <row r="801" spans="1:11">
      <c r="A801" s="1" t="s">
        <v>825</v>
      </c>
      <c r="B801" s="2">
        <v>45724</v>
      </c>
      <c r="C801" s="1" t="s">
        <v>31</v>
      </c>
      <c r="D801" s="1" t="s">
        <v>29</v>
      </c>
      <c r="E801" s="1" t="s">
        <v>26</v>
      </c>
      <c r="F801" s="1">
        <v>42</v>
      </c>
      <c r="G801" s="1">
        <v>23.98</v>
      </c>
      <c r="H801" s="1">
        <v>1007.16</v>
      </c>
      <c r="I801" s="1">
        <v>729.05</v>
      </c>
      <c r="J801" s="1">
        <v>278.11</v>
      </c>
      <c r="K801" s="8" t="str">
        <f t="shared" si="12"/>
        <v>Mar</v>
      </c>
    </row>
    <row r="802" spans="1:11">
      <c r="A802" s="1" t="s">
        <v>826</v>
      </c>
      <c r="B802" s="2">
        <v>45996</v>
      </c>
      <c r="C802" s="1" t="s">
        <v>28</v>
      </c>
      <c r="D802" s="1" t="s">
        <v>29</v>
      </c>
      <c r="E802" s="1" t="s">
        <v>26</v>
      </c>
      <c r="F802" s="1">
        <v>184</v>
      </c>
      <c r="G802" s="1">
        <v>23.12</v>
      </c>
      <c r="H802" s="1">
        <v>4254.08</v>
      </c>
      <c r="I802" s="1">
        <v>2625.36</v>
      </c>
      <c r="J802" s="1">
        <v>1628.72</v>
      </c>
      <c r="K802" s="8" t="str">
        <f t="shared" si="12"/>
        <v>Dec</v>
      </c>
    </row>
    <row r="803" spans="1:11">
      <c r="A803" s="1" t="s">
        <v>827</v>
      </c>
      <c r="B803" s="2">
        <v>45684</v>
      </c>
      <c r="C803" s="1" t="s">
        <v>22</v>
      </c>
      <c r="D803" s="1" t="s">
        <v>29</v>
      </c>
      <c r="E803" s="1" t="s">
        <v>26</v>
      </c>
      <c r="F803" s="1">
        <v>26</v>
      </c>
      <c r="G803" s="1">
        <v>18.64</v>
      </c>
      <c r="H803" s="1">
        <v>484.64</v>
      </c>
      <c r="I803" s="1">
        <v>365.22</v>
      </c>
      <c r="J803" s="1">
        <v>119.42</v>
      </c>
      <c r="K803" s="8" t="str">
        <f t="shared" si="12"/>
        <v>Jan</v>
      </c>
    </row>
    <row r="804" spans="1:11">
      <c r="A804" s="1" t="s">
        <v>828</v>
      </c>
      <c r="B804" s="2">
        <v>46016</v>
      </c>
      <c r="C804" s="1" t="s">
        <v>12</v>
      </c>
      <c r="D804" s="1" t="s">
        <v>17</v>
      </c>
      <c r="E804" s="1" t="s">
        <v>20</v>
      </c>
      <c r="F804" s="1">
        <v>46</v>
      </c>
      <c r="G804" s="1">
        <v>19.48</v>
      </c>
      <c r="H804" s="1">
        <v>896.08</v>
      </c>
      <c r="I804" s="1">
        <v>684.34</v>
      </c>
      <c r="J804" s="1">
        <v>211.74</v>
      </c>
      <c r="K804" s="8" t="str">
        <f t="shared" si="12"/>
        <v>Dec</v>
      </c>
    </row>
    <row r="805" spans="1:11">
      <c r="A805" s="1" t="s">
        <v>829</v>
      </c>
      <c r="B805" s="2">
        <v>45780</v>
      </c>
      <c r="C805" s="1" t="s">
        <v>36</v>
      </c>
      <c r="D805" s="1" t="s">
        <v>17</v>
      </c>
      <c r="E805" s="1" t="s">
        <v>14</v>
      </c>
      <c r="F805" s="1">
        <v>98</v>
      </c>
      <c r="G805" s="1">
        <v>21.61</v>
      </c>
      <c r="H805" s="1">
        <v>2117.7800000000002</v>
      </c>
      <c r="I805" s="1">
        <v>1612.44</v>
      </c>
      <c r="J805" s="1">
        <v>505.34</v>
      </c>
      <c r="K805" s="8" t="str">
        <f t="shared" si="12"/>
        <v>May</v>
      </c>
    </row>
    <row r="806" spans="1:11">
      <c r="A806" s="1" t="s">
        <v>830</v>
      </c>
      <c r="B806" s="2">
        <v>45721</v>
      </c>
      <c r="C806" s="1" t="s">
        <v>16</v>
      </c>
      <c r="D806" s="1" t="s">
        <v>17</v>
      </c>
      <c r="E806" s="1" t="s">
        <v>33</v>
      </c>
      <c r="F806" s="1">
        <v>134</v>
      </c>
      <c r="G806" s="1">
        <v>23.74</v>
      </c>
      <c r="H806" s="1">
        <v>3181.16</v>
      </c>
      <c r="I806" s="1">
        <v>2259.85</v>
      </c>
      <c r="J806" s="1">
        <v>921.31</v>
      </c>
      <c r="K806" s="8" t="str">
        <f t="shared" si="12"/>
        <v>Mar</v>
      </c>
    </row>
    <row r="807" spans="1:11">
      <c r="A807" s="1" t="s">
        <v>831</v>
      </c>
      <c r="B807" s="2">
        <v>45855</v>
      </c>
      <c r="C807" s="1" t="s">
        <v>31</v>
      </c>
      <c r="D807" s="1" t="s">
        <v>17</v>
      </c>
      <c r="E807" s="1" t="s">
        <v>18</v>
      </c>
      <c r="F807" s="1">
        <v>252</v>
      </c>
      <c r="G807" s="1">
        <v>16.79</v>
      </c>
      <c r="H807" s="1">
        <v>4231.08</v>
      </c>
      <c r="I807" s="1">
        <v>2695.16</v>
      </c>
      <c r="J807" s="1">
        <v>1535.92</v>
      </c>
      <c r="K807" s="8" t="str">
        <f t="shared" si="12"/>
        <v>Jul</v>
      </c>
    </row>
    <row r="808" spans="1:11">
      <c r="A808" s="1" t="s">
        <v>832</v>
      </c>
      <c r="B808" s="2">
        <v>45761</v>
      </c>
      <c r="C808" s="1" t="s">
        <v>28</v>
      </c>
      <c r="D808" s="1" t="s">
        <v>13</v>
      </c>
      <c r="E808" s="1" t="s">
        <v>23</v>
      </c>
      <c r="F808" s="1">
        <v>76</v>
      </c>
      <c r="G808" s="1">
        <v>32.47</v>
      </c>
      <c r="H808" s="1">
        <v>2467.7199999999998</v>
      </c>
      <c r="I808" s="1">
        <v>1932.48</v>
      </c>
      <c r="J808" s="1">
        <v>535.24</v>
      </c>
      <c r="K808" s="8" t="str">
        <f t="shared" si="12"/>
        <v>Apr</v>
      </c>
    </row>
    <row r="809" spans="1:11">
      <c r="A809" s="1" t="s">
        <v>833</v>
      </c>
      <c r="B809" s="2">
        <v>45831</v>
      </c>
      <c r="C809" s="1" t="s">
        <v>36</v>
      </c>
      <c r="D809" s="1" t="s">
        <v>13</v>
      </c>
      <c r="E809" s="1" t="s">
        <v>23</v>
      </c>
      <c r="F809" s="1">
        <v>136</v>
      </c>
      <c r="G809" s="1">
        <v>10.83</v>
      </c>
      <c r="H809" s="1">
        <v>1472.88</v>
      </c>
      <c r="I809" s="1">
        <v>1034.79</v>
      </c>
      <c r="J809" s="1">
        <v>438.09</v>
      </c>
      <c r="K809" s="8" t="str">
        <f t="shared" si="12"/>
        <v>Jun</v>
      </c>
    </row>
    <row r="810" spans="1:11">
      <c r="A810" s="1" t="s">
        <v>834</v>
      </c>
      <c r="B810" s="2">
        <v>45822</v>
      </c>
      <c r="C810" s="1" t="s">
        <v>31</v>
      </c>
      <c r="D810" s="1" t="s">
        <v>29</v>
      </c>
      <c r="E810" s="1" t="s">
        <v>20</v>
      </c>
      <c r="F810" s="1">
        <v>170</v>
      </c>
      <c r="G810" s="1">
        <v>15.18</v>
      </c>
      <c r="H810" s="1">
        <v>2580.6</v>
      </c>
      <c r="I810" s="1">
        <v>1932.74</v>
      </c>
      <c r="J810" s="1">
        <v>647.86</v>
      </c>
      <c r="K810" s="8" t="str">
        <f t="shared" si="12"/>
        <v>Jun</v>
      </c>
    </row>
    <row r="811" spans="1:11">
      <c r="A811" s="1" t="s">
        <v>835</v>
      </c>
      <c r="B811" s="2">
        <v>45995</v>
      </c>
      <c r="C811" s="1" t="s">
        <v>22</v>
      </c>
      <c r="D811" s="1" t="s">
        <v>29</v>
      </c>
      <c r="E811" s="1" t="s">
        <v>14</v>
      </c>
      <c r="F811" s="1">
        <v>224</v>
      </c>
      <c r="G811" s="1">
        <v>11.69</v>
      </c>
      <c r="H811" s="1">
        <v>2618.56</v>
      </c>
      <c r="I811" s="1">
        <v>1571.2</v>
      </c>
      <c r="J811" s="1">
        <v>1047.3599999999999</v>
      </c>
      <c r="K811" s="8" t="str">
        <f t="shared" si="12"/>
        <v>Dec</v>
      </c>
    </row>
    <row r="812" spans="1:11">
      <c r="A812" s="1" t="s">
        <v>836</v>
      </c>
      <c r="B812" s="2">
        <v>45663</v>
      </c>
      <c r="C812" s="1" t="s">
        <v>31</v>
      </c>
      <c r="D812" s="1" t="s">
        <v>13</v>
      </c>
      <c r="E812" s="1" t="s">
        <v>14</v>
      </c>
      <c r="F812" s="1">
        <v>140</v>
      </c>
      <c r="G812" s="1">
        <v>28.2</v>
      </c>
      <c r="H812" s="1">
        <v>3948</v>
      </c>
      <c r="I812" s="1">
        <v>3078.97</v>
      </c>
      <c r="J812" s="1">
        <v>869.03</v>
      </c>
      <c r="K812" s="8" t="str">
        <f t="shared" si="12"/>
        <v>Jan</v>
      </c>
    </row>
    <row r="813" spans="1:11">
      <c r="A813" s="1" t="s">
        <v>837</v>
      </c>
      <c r="B813" s="2">
        <v>45794</v>
      </c>
      <c r="C813" s="1" t="s">
        <v>28</v>
      </c>
      <c r="D813" s="1" t="s">
        <v>17</v>
      </c>
      <c r="E813" s="1" t="s">
        <v>14</v>
      </c>
      <c r="F813" s="1">
        <v>197</v>
      </c>
      <c r="G813" s="1">
        <v>19.05</v>
      </c>
      <c r="H813" s="1">
        <v>3752.85</v>
      </c>
      <c r="I813" s="1">
        <v>2715.43</v>
      </c>
      <c r="J813" s="1">
        <v>1037.42</v>
      </c>
      <c r="K813" s="8" t="str">
        <f t="shared" si="12"/>
        <v>May</v>
      </c>
    </row>
    <row r="814" spans="1:11">
      <c r="A814" s="1" t="s">
        <v>838</v>
      </c>
      <c r="B814" s="2">
        <v>45714</v>
      </c>
      <c r="C814" s="1" t="s">
        <v>36</v>
      </c>
      <c r="D814" s="1" t="s">
        <v>29</v>
      </c>
      <c r="E814" s="1" t="s">
        <v>20</v>
      </c>
      <c r="F814" s="1">
        <v>126</v>
      </c>
      <c r="G814" s="1">
        <v>10.38</v>
      </c>
      <c r="H814" s="1">
        <v>1307.8800000000001</v>
      </c>
      <c r="I814" s="1">
        <v>961.5</v>
      </c>
      <c r="J814" s="1">
        <v>346.38</v>
      </c>
      <c r="K814" s="8" t="str">
        <f t="shared" si="12"/>
        <v>Feb</v>
      </c>
    </row>
    <row r="815" spans="1:11">
      <c r="A815" s="1" t="s">
        <v>839</v>
      </c>
      <c r="B815" s="2">
        <v>45987</v>
      </c>
      <c r="C815" s="1" t="s">
        <v>22</v>
      </c>
      <c r="D815" s="1" t="s">
        <v>17</v>
      </c>
      <c r="E815" s="1" t="s">
        <v>14</v>
      </c>
      <c r="F815" s="1">
        <v>36</v>
      </c>
      <c r="G815" s="1">
        <v>39.72</v>
      </c>
      <c r="H815" s="1">
        <v>1429.92</v>
      </c>
      <c r="I815" s="1">
        <v>1066.17</v>
      </c>
      <c r="J815" s="1">
        <v>363.75</v>
      </c>
      <c r="K815" s="8" t="str">
        <f t="shared" si="12"/>
        <v>Nov</v>
      </c>
    </row>
    <row r="816" spans="1:11">
      <c r="A816" s="1" t="s">
        <v>840</v>
      </c>
      <c r="B816" s="2">
        <v>45916</v>
      </c>
      <c r="C816" s="1" t="s">
        <v>22</v>
      </c>
      <c r="D816" s="1" t="s">
        <v>13</v>
      </c>
      <c r="E816" s="1" t="s">
        <v>23</v>
      </c>
      <c r="F816" s="1">
        <v>176</v>
      </c>
      <c r="G816" s="1">
        <v>21.42</v>
      </c>
      <c r="H816" s="1">
        <v>3769.92</v>
      </c>
      <c r="I816" s="1">
        <v>2895.07</v>
      </c>
      <c r="J816" s="1">
        <v>874.85</v>
      </c>
      <c r="K816" s="8" t="str">
        <f t="shared" si="12"/>
        <v>Sep</v>
      </c>
    </row>
    <row r="817" spans="1:11">
      <c r="A817" s="1" t="s">
        <v>841</v>
      </c>
      <c r="B817" s="2">
        <v>45830</v>
      </c>
      <c r="C817" s="1" t="s">
        <v>31</v>
      </c>
      <c r="D817" s="1" t="s">
        <v>13</v>
      </c>
      <c r="E817" s="1" t="s">
        <v>33</v>
      </c>
      <c r="F817" s="1">
        <v>38</v>
      </c>
      <c r="G817" s="1">
        <v>20.36</v>
      </c>
      <c r="H817" s="1">
        <v>773.68</v>
      </c>
      <c r="I817" s="1">
        <v>594.78</v>
      </c>
      <c r="J817" s="1">
        <v>178.9</v>
      </c>
      <c r="K817" s="8" t="str">
        <f t="shared" si="12"/>
        <v>Jun</v>
      </c>
    </row>
    <row r="818" spans="1:11">
      <c r="A818" s="1" t="s">
        <v>842</v>
      </c>
      <c r="B818" s="2">
        <v>46004</v>
      </c>
      <c r="C818" s="1" t="s">
        <v>12</v>
      </c>
      <c r="D818" s="1" t="s">
        <v>17</v>
      </c>
      <c r="E818" s="1" t="s">
        <v>14</v>
      </c>
      <c r="F818" s="1">
        <v>287</v>
      </c>
      <c r="G818" s="1">
        <v>29.57</v>
      </c>
      <c r="H818" s="1">
        <v>8486.59</v>
      </c>
      <c r="I818" s="1">
        <v>5173.43</v>
      </c>
      <c r="J818" s="1">
        <v>3313.16</v>
      </c>
      <c r="K818" s="8" t="str">
        <f t="shared" si="12"/>
        <v>Dec</v>
      </c>
    </row>
    <row r="819" spans="1:11">
      <c r="A819" s="1" t="s">
        <v>843</v>
      </c>
      <c r="B819" s="2">
        <v>45898</v>
      </c>
      <c r="C819" s="1" t="s">
        <v>22</v>
      </c>
      <c r="D819" s="1" t="s">
        <v>29</v>
      </c>
      <c r="E819" s="1" t="s">
        <v>14</v>
      </c>
      <c r="F819" s="1">
        <v>246</v>
      </c>
      <c r="G819" s="1">
        <v>33.47</v>
      </c>
      <c r="H819" s="1">
        <v>8233.6200000000008</v>
      </c>
      <c r="I819" s="1">
        <v>6372.57</v>
      </c>
      <c r="J819" s="1">
        <v>1861.05</v>
      </c>
      <c r="K819" s="8" t="str">
        <f t="shared" si="12"/>
        <v>Aug</v>
      </c>
    </row>
    <row r="820" spans="1:11">
      <c r="A820" s="1" t="s">
        <v>844</v>
      </c>
      <c r="B820" s="2">
        <v>45842</v>
      </c>
      <c r="C820" s="1" t="s">
        <v>16</v>
      </c>
      <c r="D820" s="1" t="s">
        <v>13</v>
      </c>
      <c r="E820" s="1" t="s">
        <v>20</v>
      </c>
      <c r="F820" s="1">
        <v>137</v>
      </c>
      <c r="G820" s="1">
        <v>11.92</v>
      </c>
      <c r="H820" s="1">
        <v>1633.04</v>
      </c>
      <c r="I820" s="1">
        <v>1018.48</v>
      </c>
      <c r="J820" s="1">
        <v>614.55999999999995</v>
      </c>
      <c r="K820" s="8" t="str">
        <f t="shared" si="12"/>
        <v>Jul</v>
      </c>
    </row>
    <row r="821" spans="1:11">
      <c r="A821" s="1" t="s">
        <v>845</v>
      </c>
      <c r="B821" s="2">
        <v>45847</v>
      </c>
      <c r="C821" s="1" t="s">
        <v>16</v>
      </c>
      <c r="D821" s="1" t="s">
        <v>13</v>
      </c>
      <c r="E821" s="1" t="s">
        <v>18</v>
      </c>
      <c r="F821" s="1">
        <v>46</v>
      </c>
      <c r="G821" s="1">
        <v>28.45</v>
      </c>
      <c r="H821" s="1">
        <v>1308.7</v>
      </c>
      <c r="I821" s="1">
        <v>915.53</v>
      </c>
      <c r="J821" s="1">
        <v>393.17</v>
      </c>
      <c r="K821" s="8" t="str">
        <f t="shared" si="12"/>
        <v>Jul</v>
      </c>
    </row>
    <row r="822" spans="1:11">
      <c r="A822" s="1" t="s">
        <v>846</v>
      </c>
      <c r="B822" s="2">
        <v>45985</v>
      </c>
      <c r="C822" s="1" t="s">
        <v>28</v>
      </c>
      <c r="D822" s="1" t="s">
        <v>17</v>
      </c>
      <c r="E822" s="1" t="s">
        <v>33</v>
      </c>
      <c r="F822" s="1">
        <v>215</v>
      </c>
      <c r="G822" s="1">
        <v>19.329999999999998</v>
      </c>
      <c r="H822" s="1">
        <v>4155.95</v>
      </c>
      <c r="I822" s="1">
        <v>2889.76</v>
      </c>
      <c r="J822" s="1">
        <v>1266.19</v>
      </c>
      <c r="K822" s="8" t="str">
        <f t="shared" si="12"/>
        <v>Nov</v>
      </c>
    </row>
    <row r="823" spans="1:11">
      <c r="A823" s="1" t="s">
        <v>847</v>
      </c>
      <c r="B823" s="2">
        <v>45981</v>
      </c>
      <c r="C823" s="1" t="s">
        <v>31</v>
      </c>
      <c r="D823" s="1" t="s">
        <v>29</v>
      </c>
      <c r="E823" s="1" t="s">
        <v>14</v>
      </c>
      <c r="F823" s="1">
        <v>250</v>
      </c>
      <c r="G823" s="1">
        <v>19.559999999999999</v>
      </c>
      <c r="H823" s="1">
        <v>4890</v>
      </c>
      <c r="I823" s="1">
        <v>3271.37</v>
      </c>
      <c r="J823" s="1">
        <v>1618.63</v>
      </c>
      <c r="K823" s="8" t="str">
        <f t="shared" si="12"/>
        <v>Nov</v>
      </c>
    </row>
    <row r="824" spans="1:11">
      <c r="A824" s="1" t="s">
        <v>848</v>
      </c>
      <c r="B824" s="2">
        <v>45951</v>
      </c>
      <c r="C824" s="1" t="s">
        <v>12</v>
      </c>
      <c r="D824" s="1" t="s">
        <v>13</v>
      </c>
      <c r="E824" s="1" t="s">
        <v>18</v>
      </c>
      <c r="F824" s="1">
        <v>64</v>
      </c>
      <c r="G824" s="1">
        <v>28</v>
      </c>
      <c r="H824" s="1">
        <v>1792</v>
      </c>
      <c r="I824" s="1">
        <v>1432.8</v>
      </c>
      <c r="J824" s="1">
        <v>359.2</v>
      </c>
      <c r="K824" s="8" t="str">
        <f t="shared" si="12"/>
        <v>Oct</v>
      </c>
    </row>
    <row r="825" spans="1:11">
      <c r="A825" s="1" t="s">
        <v>849</v>
      </c>
      <c r="B825" s="2">
        <v>45886</v>
      </c>
      <c r="C825" s="1" t="s">
        <v>22</v>
      </c>
      <c r="D825" s="1" t="s">
        <v>13</v>
      </c>
      <c r="E825" s="1" t="s">
        <v>20</v>
      </c>
      <c r="F825" s="1">
        <v>223</v>
      </c>
      <c r="G825" s="1">
        <v>10.35</v>
      </c>
      <c r="H825" s="1">
        <v>2308.0500000000002</v>
      </c>
      <c r="I825" s="1">
        <v>1826.02</v>
      </c>
      <c r="J825" s="1">
        <v>482.03</v>
      </c>
      <c r="K825" s="8" t="str">
        <f t="shared" si="12"/>
        <v>Aug</v>
      </c>
    </row>
    <row r="826" spans="1:11">
      <c r="A826" s="1" t="s">
        <v>850</v>
      </c>
      <c r="B826" s="2">
        <v>45843</v>
      </c>
      <c r="C826" s="1" t="s">
        <v>36</v>
      </c>
      <c r="D826" s="1" t="s">
        <v>13</v>
      </c>
      <c r="E826" s="1" t="s">
        <v>33</v>
      </c>
      <c r="F826" s="1">
        <v>287</v>
      </c>
      <c r="G826" s="1">
        <v>20.9</v>
      </c>
      <c r="H826" s="1">
        <v>5998.3</v>
      </c>
      <c r="I826" s="1">
        <v>4749.05</v>
      </c>
      <c r="J826" s="1">
        <v>1249.25</v>
      </c>
      <c r="K826" s="8" t="str">
        <f t="shared" si="12"/>
        <v>Jul</v>
      </c>
    </row>
    <row r="827" spans="1:11">
      <c r="A827" s="1" t="s">
        <v>851</v>
      </c>
      <c r="B827" s="2">
        <v>45949</v>
      </c>
      <c r="C827" s="1" t="s">
        <v>16</v>
      </c>
      <c r="D827" s="1" t="s">
        <v>29</v>
      </c>
      <c r="E827" s="1" t="s">
        <v>20</v>
      </c>
      <c r="F827" s="1">
        <v>27</v>
      </c>
      <c r="G827" s="1">
        <v>23.85</v>
      </c>
      <c r="H827" s="1">
        <v>643.95000000000005</v>
      </c>
      <c r="I827" s="1">
        <v>459.68</v>
      </c>
      <c r="J827" s="1">
        <v>184.27</v>
      </c>
      <c r="K827" s="8" t="str">
        <f t="shared" si="12"/>
        <v>Oct</v>
      </c>
    </row>
    <row r="828" spans="1:11">
      <c r="A828" s="1" t="s">
        <v>852</v>
      </c>
      <c r="B828" s="2">
        <v>45877</v>
      </c>
      <c r="C828" s="1" t="s">
        <v>12</v>
      </c>
      <c r="D828" s="1" t="s">
        <v>29</v>
      </c>
      <c r="E828" s="1" t="s">
        <v>14</v>
      </c>
      <c r="F828" s="1">
        <v>57</v>
      </c>
      <c r="G828" s="1">
        <v>15.51</v>
      </c>
      <c r="H828" s="1">
        <v>884.07</v>
      </c>
      <c r="I828" s="1">
        <v>581.89</v>
      </c>
      <c r="J828" s="1">
        <v>302.18</v>
      </c>
      <c r="K828" s="8" t="str">
        <f t="shared" si="12"/>
        <v>Aug</v>
      </c>
    </row>
    <row r="829" spans="1:11">
      <c r="A829" s="1" t="s">
        <v>853</v>
      </c>
      <c r="B829" s="2">
        <v>45709</v>
      </c>
      <c r="C829" s="1" t="s">
        <v>16</v>
      </c>
      <c r="D829" s="1" t="s">
        <v>13</v>
      </c>
      <c r="E829" s="1" t="s">
        <v>14</v>
      </c>
      <c r="F829" s="1">
        <v>123</v>
      </c>
      <c r="G829" s="1">
        <v>33.82</v>
      </c>
      <c r="H829" s="1">
        <v>4159.8599999999997</v>
      </c>
      <c r="I829" s="1">
        <v>2998.25</v>
      </c>
      <c r="J829" s="1">
        <v>1161.6099999999999</v>
      </c>
      <c r="K829" s="8" t="str">
        <f t="shared" si="12"/>
        <v>Feb</v>
      </c>
    </row>
    <row r="830" spans="1:11">
      <c r="A830" s="1" t="s">
        <v>854</v>
      </c>
      <c r="B830" s="2">
        <v>45879</v>
      </c>
      <c r="C830" s="1" t="s">
        <v>28</v>
      </c>
      <c r="D830" s="1" t="s">
        <v>13</v>
      </c>
      <c r="E830" s="1" t="s">
        <v>14</v>
      </c>
      <c r="F830" s="1">
        <v>90</v>
      </c>
      <c r="G830" s="1">
        <v>21.42</v>
      </c>
      <c r="H830" s="1">
        <v>1927.8</v>
      </c>
      <c r="I830" s="1">
        <v>1430.37</v>
      </c>
      <c r="J830" s="1">
        <v>497.43</v>
      </c>
      <c r="K830" s="8" t="str">
        <f t="shared" si="12"/>
        <v>Aug</v>
      </c>
    </row>
    <row r="831" spans="1:11">
      <c r="A831" s="1" t="s">
        <v>855</v>
      </c>
      <c r="B831" s="2">
        <v>45812</v>
      </c>
      <c r="C831" s="1" t="s">
        <v>28</v>
      </c>
      <c r="D831" s="1" t="s">
        <v>29</v>
      </c>
      <c r="E831" s="1" t="s">
        <v>23</v>
      </c>
      <c r="F831" s="1">
        <v>178</v>
      </c>
      <c r="G831" s="1">
        <v>25.47</v>
      </c>
      <c r="H831" s="1">
        <v>4533.66</v>
      </c>
      <c r="I831" s="1">
        <v>3601.99</v>
      </c>
      <c r="J831" s="1">
        <v>931.67</v>
      </c>
      <c r="K831" s="8" t="str">
        <f t="shared" si="12"/>
        <v>Jun</v>
      </c>
    </row>
    <row r="832" spans="1:11">
      <c r="A832" s="1" t="s">
        <v>856</v>
      </c>
      <c r="B832" s="2">
        <v>45663</v>
      </c>
      <c r="C832" s="1" t="s">
        <v>12</v>
      </c>
      <c r="D832" s="1" t="s">
        <v>13</v>
      </c>
      <c r="E832" s="1" t="s">
        <v>20</v>
      </c>
      <c r="F832" s="1">
        <v>83</v>
      </c>
      <c r="G832" s="1">
        <v>28.15</v>
      </c>
      <c r="H832" s="1">
        <v>2336.4499999999998</v>
      </c>
      <c r="I832" s="1">
        <v>1578.5</v>
      </c>
      <c r="J832" s="1">
        <v>757.95</v>
      </c>
      <c r="K832" s="8" t="str">
        <f t="shared" si="12"/>
        <v>Jan</v>
      </c>
    </row>
    <row r="833" spans="1:11">
      <c r="A833" s="1" t="s">
        <v>857</v>
      </c>
      <c r="B833" s="2">
        <v>45666</v>
      </c>
      <c r="C833" s="1" t="s">
        <v>12</v>
      </c>
      <c r="D833" s="1" t="s">
        <v>17</v>
      </c>
      <c r="E833" s="1" t="s">
        <v>26</v>
      </c>
      <c r="F833" s="1">
        <v>292</v>
      </c>
      <c r="G833" s="1">
        <v>36.369999999999997</v>
      </c>
      <c r="H833" s="1">
        <v>10620.04</v>
      </c>
      <c r="I833" s="1">
        <v>6611.62</v>
      </c>
      <c r="J833" s="1">
        <v>4008.42</v>
      </c>
      <c r="K833" s="8" t="str">
        <f t="shared" si="12"/>
        <v>Jan</v>
      </c>
    </row>
    <row r="834" spans="1:11">
      <c r="A834" s="1" t="s">
        <v>858</v>
      </c>
      <c r="B834" s="2">
        <v>45686</v>
      </c>
      <c r="C834" s="1" t="s">
        <v>36</v>
      </c>
      <c r="D834" s="1" t="s">
        <v>29</v>
      </c>
      <c r="E834" s="1" t="s">
        <v>20</v>
      </c>
      <c r="F834" s="1">
        <v>116</v>
      </c>
      <c r="G834" s="1">
        <v>25.15</v>
      </c>
      <c r="H834" s="1">
        <v>2917.4</v>
      </c>
      <c r="I834" s="1">
        <v>2276.37</v>
      </c>
      <c r="J834" s="1">
        <v>641.03</v>
      </c>
      <c r="K834" s="8" t="str">
        <f t="shared" ref="K834:K897" si="13">TEXT(B834,"mmm")</f>
        <v>Jan</v>
      </c>
    </row>
    <row r="835" spans="1:11">
      <c r="A835" s="1" t="s">
        <v>859</v>
      </c>
      <c r="B835" s="2">
        <v>45919</v>
      </c>
      <c r="C835" s="1" t="s">
        <v>22</v>
      </c>
      <c r="D835" s="1" t="s">
        <v>13</v>
      </c>
      <c r="E835" s="1" t="s">
        <v>33</v>
      </c>
      <c r="F835" s="1">
        <v>246</v>
      </c>
      <c r="G835" s="1">
        <v>37.979999999999997</v>
      </c>
      <c r="H835" s="1">
        <v>9343.08</v>
      </c>
      <c r="I835" s="1">
        <v>6652.21</v>
      </c>
      <c r="J835" s="1">
        <v>2690.87</v>
      </c>
      <c r="K835" s="8" t="str">
        <f t="shared" si="13"/>
        <v>Sep</v>
      </c>
    </row>
    <row r="836" spans="1:11">
      <c r="A836" s="1" t="s">
        <v>860</v>
      </c>
      <c r="B836" s="2">
        <v>45882</v>
      </c>
      <c r="C836" s="1" t="s">
        <v>31</v>
      </c>
      <c r="D836" s="1" t="s">
        <v>29</v>
      </c>
      <c r="E836" s="1" t="s">
        <v>14</v>
      </c>
      <c r="F836" s="1">
        <v>25</v>
      </c>
      <c r="G836" s="1">
        <v>22.72</v>
      </c>
      <c r="H836" s="1">
        <v>568</v>
      </c>
      <c r="I836" s="1">
        <v>409.2</v>
      </c>
      <c r="J836" s="1">
        <v>158.80000000000001</v>
      </c>
      <c r="K836" s="8" t="str">
        <f t="shared" si="13"/>
        <v>Aug</v>
      </c>
    </row>
    <row r="837" spans="1:11">
      <c r="A837" s="1" t="s">
        <v>861</v>
      </c>
      <c r="B837" s="2">
        <v>45777</v>
      </c>
      <c r="C837" s="1" t="s">
        <v>16</v>
      </c>
      <c r="D837" s="1" t="s">
        <v>13</v>
      </c>
      <c r="E837" s="1" t="s">
        <v>26</v>
      </c>
      <c r="F837" s="1">
        <v>225</v>
      </c>
      <c r="G837" s="1">
        <v>16.489999999999998</v>
      </c>
      <c r="H837" s="1">
        <v>3710.25</v>
      </c>
      <c r="I837" s="1">
        <v>2692.51</v>
      </c>
      <c r="J837" s="1">
        <v>1017.74</v>
      </c>
      <c r="K837" s="8" t="str">
        <f t="shared" si="13"/>
        <v>Apr</v>
      </c>
    </row>
    <row r="838" spans="1:11">
      <c r="A838" s="1" t="s">
        <v>862</v>
      </c>
      <c r="B838" s="2">
        <v>45832</v>
      </c>
      <c r="C838" s="1" t="s">
        <v>31</v>
      </c>
      <c r="D838" s="1" t="s">
        <v>13</v>
      </c>
      <c r="E838" s="1" t="s">
        <v>23</v>
      </c>
      <c r="F838" s="1">
        <v>94</v>
      </c>
      <c r="G838" s="1">
        <v>32.450000000000003</v>
      </c>
      <c r="H838" s="1">
        <v>3050.3</v>
      </c>
      <c r="I838" s="1">
        <v>1974.8</v>
      </c>
      <c r="J838" s="1">
        <v>1075.5</v>
      </c>
      <c r="K838" s="8" t="str">
        <f t="shared" si="13"/>
        <v>Jun</v>
      </c>
    </row>
    <row r="839" spans="1:11">
      <c r="A839" s="1" t="s">
        <v>863</v>
      </c>
      <c r="B839" s="2">
        <v>45747</v>
      </c>
      <c r="C839" s="1" t="s">
        <v>22</v>
      </c>
      <c r="D839" s="1" t="s">
        <v>29</v>
      </c>
      <c r="E839" s="1" t="s">
        <v>33</v>
      </c>
      <c r="F839" s="1">
        <v>128</v>
      </c>
      <c r="G839" s="1">
        <v>28.09</v>
      </c>
      <c r="H839" s="1">
        <v>3595.52</v>
      </c>
      <c r="I839" s="1">
        <v>2807.48</v>
      </c>
      <c r="J839" s="1">
        <v>788.04</v>
      </c>
      <c r="K839" s="8" t="str">
        <f t="shared" si="13"/>
        <v>Mar</v>
      </c>
    </row>
    <row r="840" spans="1:11">
      <c r="A840" s="1" t="s">
        <v>864</v>
      </c>
      <c r="B840" s="2">
        <v>45714</v>
      </c>
      <c r="C840" s="1" t="s">
        <v>31</v>
      </c>
      <c r="D840" s="1" t="s">
        <v>17</v>
      </c>
      <c r="E840" s="1" t="s">
        <v>23</v>
      </c>
      <c r="F840" s="1">
        <v>246</v>
      </c>
      <c r="G840" s="1">
        <v>31.36</v>
      </c>
      <c r="H840" s="1">
        <v>7714.56</v>
      </c>
      <c r="I840" s="1">
        <v>5725.09</v>
      </c>
      <c r="J840" s="1">
        <v>1989.47</v>
      </c>
      <c r="K840" s="8" t="str">
        <f t="shared" si="13"/>
        <v>Feb</v>
      </c>
    </row>
    <row r="841" spans="1:11">
      <c r="A841" s="1" t="s">
        <v>865</v>
      </c>
      <c r="B841" s="2">
        <v>45684</v>
      </c>
      <c r="C841" s="1" t="s">
        <v>16</v>
      </c>
      <c r="D841" s="1" t="s">
        <v>13</v>
      </c>
      <c r="E841" s="1" t="s">
        <v>23</v>
      </c>
      <c r="F841" s="1">
        <v>260</v>
      </c>
      <c r="G841" s="1">
        <v>38.32</v>
      </c>
      <c r="H841" s="1">
        <v>9963.2000000000007</v>
      </c>
      <c r="I841" s="1">
        <v>6859.91</v>
      </c>
      <c r="J841" s="1">
        <v>3103.29</v>
      </c>
      <c r="K841" s="8" t="str">
        <f t="shared" si="13"/>
        <v>Jan</v>
      </c>
    </row>
    <row r="842" spans="1:11">
      <c r="A842" s="1" t="s">
        <v>866</v>
      </c>
      <c r="B842" s="2">
        <v>46004</v>
      </c>
      <c r="C842" s="1" t="s">
        <v>36</v>
      </c>
      <c r="D842" s="1" t="s">
        <v>13</v>
      </c>
      <c r="E842" s="1" t="s">
        <v>23</v>
      </c>
      <c r="F842" s="1">
        <v>222</v>
      </c>
      <c r="G842" s="1">
        <v>14.26</v>
      </c>
      <c r="H842" s="1">
        <v>3165.72</v>
      </c>
      <c r="I842" s="1">
        <v>2190.66</v>
      </c>
      <c r="J842" s="1">
        <v>975.06</v>
      </c>
      <c r="K842" s="8" t="str">
        <f t="shared" si="13"/>
        <v>Dec</v>
      </c>
    </row>
    <row r="843" spans="1:11">
      <c r="A843" s="1" t="s">
        <v>867</v>
      </c>
      <c r="B843" s="2">
        <v>45830</v>
      </c>
      <c r="C843" s="1" t="s">
        <v>22</v>
      </c>
      <c r="D843" s="1" t="s">
        <v>13</v>
      </c>
      <c r="E843" s="1" t="s">
        <v>20</v>
      </c>
      <c r="F843" s="1">
        <v>219</v>
      </c>
      <c r="G843" s="1">
        <v>33</v>
      </c>
      <c r="H843" s="1">
        <v>7227</v>
      </c>
      <c r="I843" s="1">
        <v>4690.49</v>
      </c>
      <c r="J843" s="1">
        <v>2536.5100000000002</v>
      </c>
      <c r="K843" s="8" t="str">
        <f t="shared" si="13"/>
        <v>Jun</v>
      </c>
    </row>
    <row r="844" spans="1:11">
      <c r="A844" s="1" t="s">
        <v>868</v>
      </c>
      <c r="B844" s="2">
        <v>45867</v>
      </c>
      <c r="C844" s="1" t="s">
        <v>22</v>
      </c>
      <c r="D844" s="1" t="s">
        <v>29</v>
      </c>
      <c r="E844" s="1" t="s">
        <v>20</v>
      </c>
      <c r="F844" s="1">
        <v>192</v>
      </c>
      <c r="G844" s="1">
        <v>28.55</v>
      </c>
      <c r="H844" s="1">
        <v>5481.6</v>
      </c>
      <c r="I844" s="1">
        <v>3621.35</v>
      </c>
      <c r="J844" s="1">
        <v>1860.25</v>
      </c>
      <c r="K844" s="8" t="str">
        <f t="shared" si="13"/>
        <v>Jul</v>
      </c>
    </row>
    <row r="845" spans="1:11">
      <c r="A845" s="1" t="s">
        <v>869</v>
      </c>
      <c r="B845" s="2">
        <v>45886</v>
      </c>
      <c r="C845" s="1" t="s">
        <v>16</v>
      </c>
      <c r="D845" s="1" t="s">
        <v>29</v>
      </c>
      <c r="E845" s="1" t="s">
        <v>14</v>
      </c>
      <c r="F845" s="1">
        <v>53</v>
      </c>
      <c r="G845" s="1">
        <v>14.28</v>
      </c>
      <c r="H845" s="1">
        <v>756.84</v>
      </c>
      <c r="I845" s="1">
        <v>543.37</v>
      </c>
      <c r="J845" s="1">
        <v>213.47</v>
      </c>
      <c r="K845" s="8" t="str">
        <f t="shared" si="13"/>
        <v>Aug</v>
      </c>
    </row>
    <row r="846" spans="1:11">
      <c r="A846" s="1" t="s">
        <v>870</v>
      </c>
      <c r="B846" s="2">
        <v>45752</v>
      </c>
      <c r="C846" s="1" t="s">
        <v>12</v>
      </c>
      <c r="D846" s="1" t="s">
        <v>17</v>
      </c>
      <c r="E846" s="1" t="s">
        <v>18</v>
      </c>
      <c r="F846" s="1">
        <v>223</v>
      </c>
      <c r="G846" s="1">
        <v>24.39</v>
      </c>
      <c r="H846" s="1">
        <v>5438.97</v>
      </c>
      <c r="I846" s="1">
        <v>3741.82</v>
      </c>
      <c r="J846" s="1">
        <v>1697.15</v>
      </c>
      <c r="K846" s="8" t="str">
        <f t="shared" si="13"/>
        <v>Apr</v>
      </c>
    </row>
    <row r="847" spans="1:11">
      <c r="A847" s="1" t="s">
        <v>871</v>
      </c>
      <c r="B847" s="2">
        <v>45799</v>
      </c>
      <c r="C847" s="1" t="s">
        <v>12</v>
      </c>
      <c r="D847" s="1" t="s">
        <v>13</v>
      </c>
      <c r="E847" s="1" t="s">
        <v>23</v>
      </c>
      <c r="F847" s="1">
        <v>251</v>
      </c>
      <c r="G847" s="1">
        <v>25.56</v>
      </c>
      <c r="H847" s="1">
        <v>6415.56</v>
      </c>
      <c r="I847" s="1">
        <v>4454.75</v>
      </c>
      <c r="J847" s="1">
        <v>1960.81</v>
      </c>
      <c r="K847" s="8" t="str">
        <f t="shared" si="13"/>
        <v>May</v>
      </c>
    </row>
    <row r="848" spans="1:11">
      <c r="A848" s="1" t="s">
        <v>872</v>
      </c>
      <c r="B848" s="2">
        <v>45744</v>
      </c>
      <c r="C848" s="1" t="s">
        <v>16</v>
      </c>
      <c r="D848" s="1" t="s">
        <v>17</v>
      </c>
      <c r="E848" s="1" t="s">
        <v>26</v>
      </c>
      <c r="F848" s="1">
        <v>129</v>
      </c>
      <c r="G848" s="1">
        <v>12.2</v>
      </c>
      <c r="H848" s="1">
        <v>1573.8</v>
      </c>
      <c r="I848" s="1">
        <v>1165.03</v>
      </c>
      <c r="J848" s="1">
        <v>408.77</v>
      </c>
      <c r="K848" s="8" t="str">
        <f t="shared" si="13"/>
        <v>Mar</v>
      </c>
    </row>
    <row r="849" spans="1:11">
      <c r="A849" s="1" t="s">
        <v>873</v>
      </c>
      <c r="B849" s="2">
        <v>45839</v>
      </c>
      <c r="C849" s="1" t="s">
        <v>28</v>
      </c>
      <c r="D849" s="1" t="s">
        <v>29</v>
      </c>
      <c r="E849" s="1" t="s">
        <v>20</v>
      </c>
      <c r="F849" s="1">
        <v>227</v>
      </c>
      <c r="G849" s="1">
        <v>20.07</v>
      </c>
      <c r="H849" s="1">
        <v>4555.8900000000003</v>
      </c>
      <c r="I849" s="1">
        <v>3375.88</v>
      </c>
      <c r="J849" s="1">
        <v>1180.01</v>
      </c>
      <c r="K849" s="8" t="str">
        <f t="shared" si="13"/>
        <v>Jul</v>
      </c>
    </row>
    <row r="850" spans="1:11">
      <c r="A850" s="1" t="s">
        <v>874</v>
      </c>
      <c r="B850" s="2">
        <v>45896</v>
      </c>
      <c r="C850" s="1" t="s">
        <v>36</v>
      </c>
      <c r="D850" s="1" t="s">
        <v>17</v>
      </c>
      <c r="E850" s="1" t="s">
        <v>14</v>
      </c>
      <c r="F850" s="1">
        <v>290</v>
      </c>
      <c r="G850" s="1">
        <v>10.19</v>
      </c>
      <c r="H850" s="1">
        <v>2955.1</v>
      </c>
      <c r="I850" s="1">
        <v>2275.13</v>
      </c>
      <c r="J850" s="1">
        <v>679.97</v>
      </c>
      <c r="K850" s="8" t="str">
        <f t="shared" si="13"/>
        <v>Aug</v>
      </c>
    </row>
    <row r="851" spans="1:11">
      <c r="A851" s="1" t="s">
        <v>875</v>
      </c>
      <c r="B851" s="2">
        <v>45918</v>
      </c>
      <c r="C851" s="1" t="s">
        <v>22</v>
      </c>
      <c r="D851" s="1" t="s">
        <v>29</v>
      </c>
      <c r="E851" s="1" t="s">
        <v>33</v>
      </c>
      <c r="F851" s="1">
        <v>215</v>
      </c>
      <c r="G851" s="1">
        <v>38.56</v>
      </c>
      <c r="H851" s="1">
        <v>8290.4</v>
      </c>
      <c r="I851" s="1">
        <v>6001.84</v>
      </c>
      <c r="J851" s="1">
        <v>2288.56</v>
      </c>
      <c r="K851" s="8" t="str">
        <f t="shared" si="13"/>
        <v>Sep</v>
      </c>
    </row>
    <row r="852" spans="1:11">
      <c r="A852" s="1" t="s">
        <v>876</v>
      </c>
      <c r="B852" s="2">
        <v>45997</v>
      </c>
      <c r="C852" s="1" t="s">
        <v>31</v>
      </c>
      <c r="D852" s="1" t="s">
        <v>29</v>
      </c>
      <c r="E852" s="1" t="s">
        <v>18</v>
      </c>
      <c r="F852" s="1">
        <v>12</v>
      </c>
      <c r="G852" s="1">
        <v>38.479999999999997</v>
      </c>
      <c r="H852" s="1">
        <v>461.76</v>
      </c>
      <c r="I852" s="1">
        <v>290.48</v>
      </c>
      <c r="J852" s="1">
        <v>171.28</v>
      </c>
      <c r="K852" s="8" t="str">
        <f t="shared" si="13"/>
        <v>Dec</v>
      </c>
    </row>
    <row r="853" spans="1:11">
      <c r="A853" s="1" t="s">
        <v>877</v>
      </c>
      <c r="B853" s="2">
        <v>45825</v>
      </c>
      <c r="C853" s="1" t="s">
        <v>12</v>
      </c>
      <c r="D853" s="1" t="s">
        <v>29</v>
      </c>
      <c r="E853" s="1" t="s">
        <v>18</v>
      </c>
      <c r="F853" s="1">
        <v>122</v>
      </c>
      <c r="G853" s="1">
        <v>20.2</v>
      </c>
      <c r="H853" s="1">
        <v>2464.4</v>
      </c>
      <c r="I853" s="1">
        <v>1944.33</v>
      </c>
      <c r="J853" s="1">
        <v>520.07000000000005</v>
      </c>
      <c r="K853" s="8" t="str">
        <f t="shared" si="13"/>
        <v>Jun</v>
      </c>
    </row>
    <row r="854" spans="1:11">
      <c r="A854" s="1" t="s">
        <v>878</v>
      </c>
      <c r="B854" s="2">
        <v>45991</v>
      </c>
      <c r="C854" s="1" t="s">
        <v>16</v>
      </c>
      <c r="D854" s="1" t="s">
        <v>29</v>
      </c>
      <c r="E854" s="1" t="s">
        <v>14</v>
      </c>
      <c r="F854" s="1">
        <v>103</v>
      </c>
      <c r="G854" s="1">
        <v>18.57</v>
      </c>
      <c r="H854" s="1">
        <v>1912.71</v>
      </c>
      <c r="I854" s="1">
        <v>1199.6500000000001</v>
      </c>
      <c r="J854" s="1">
        <v>713.06</v>
      </c>
      <c r="K854" s="8" t="str">
        <f t="shared" si="13"/>
        <v>Nov</v>
      </c>
    </row>
    <row r="855" spans="1:11">
      <c r="A855" s="1" t="s">
        <v>879</v>
      </c>
      <c r="B855" s="2">
        <v>45903</v>
      </c>
      <c r="C855" s="1" t="s">
        <v>16</v>
      </c>
      <c r="D855" s="1" t="s">
        <v>17</v>
      </c>
      <c r="E855" s="1" t="s">
        <v>23</v>
      </c>
      <c r="F855" s="1">
        <v>235</v>
      </c>
      <c r="G855" s="1">
        <v>24.87</v>
      </c>
      <c r="H855" s="1">
        <v>5844.45</v>
      </c>
      <c r="I855" s="1">
        <v>3931.5</v>
      </c>
      <c r="J855" s="1">
        <v>1912.95</v>
      </c>
      <c r="K855" s="8" t="str">
        <f t="shared" si="13"/>
        <v>Sep</v>
      </c>
    </row>
    <row r="856" spans="1:11">
      <c r="A856" s="1" t="s">
        <v>880</v>
      </c>
      <c r="B856" s="2">
        <v>45930</v>
      </c>
      <c r="C856" s="1" t="s">
        <v>31</v>
      </c>
      <c r="D856" s="1" t="s">
        <v>17</v>
      </c>
      <c r="E856" s="1" t="s">
        <v>18</v>
      </c>
      <c r="F856" s="1">
        <v>176</v>
      </c>
      <c r="G856" s="1">
        <v>29.18</v>
      </c>
      <c r="H856" s="1">
        <v>5135.68</v>
      </c>
      <c r="I856" s="1">
        <v>3571.26</v>
      </c>
      <c r="J856" s="1">
        <v>1564.42</v>
      </c>
      <c r="K856" s="8" t="str">
        <f t="shared" si="13"/>
        <v>Sep</v>
      </c>
    </row>
    <row r="857" spans="1:11">
      <c r="A857" s="1" t="s">
        <v>881</v>
      </c>
      <c r="B857" s="2">
        <v>45970</v>
      </c>
      <c r="C857" s="1" t="s">
        <v>31</v>
      </c>
      <c r="D857" s="1" t="s">
        <v>17</v>
      </c>
      <c r="E857" s="1" t="s">
        <v>26</v>
      </c>
      <c r="F857" s="1">
        <v>299</v>
      </c>
      <c r="G857" s="1">
        <v>33.58</v>
      </c>
      <c r="H857" s="1">
        <v>10040.42</v>
      </c>
      <c r="I857" s="1">
        <v>6547.56</v>
      </c>
      <c r="J857" s="1">
        <v>3492.86</v>
      </c>
      <c r="K857" s="8" t="str">
        <f t="shared" si="13"/>
        <v>Nov</v>
      </c>
    </row>
    <row r="858" spans="1:11">
      <c r="A858" s="1" t="s">
        <v>882</v>
      </c>
      <c r="B858" s="2">
        <v>45843</v>
      </c>
      <c r="C858" s="1" t="s">
        <v>31</v>
      </c>
      <c r="D858" s="1" t="s">
        <v>17</v>
      </c>
      <c r="E858" s="1" t="s">
        <v>20</v>
      </c>
      <c r="F858" s="1">
        <v>285</v>
      </c>
      <c r="G858" s="1">
        <v>10.36</v>
      </c>
      <c r="H858" s="1">
        <v>2952.6</v>
      </c>
      <c r="I858" s="1">
        <v>2297.87</v>
      </c>
      <c r="J858" s="1">
        <v>654.73</v>
      </c>
      <c r="K858" s="8" t="str">
        <f t="shared" si="13"/>
        <v>Jul</v>
      </c>
    </row>
    <row r="859" spans="1:11">
      <c r="A859" s="1" t="s">
        <v>883</v>
      </c>
      <c r="B859" s="2">
        <v>46011</v>
      </c>
      <c r="C859" s="1" t="s">
        <v>16</v>
      </c>
      <c r="D859" s="1" t="s">
        <v>29</v>
      </c>
      <c r="E859" s="1" t="s">
        <v>20</v>
      </c>
      <c r="F859" s="1">
        <v>203</v>
      </c>
      <c r="G859" s="1">
        <v>10.65</v>
      </c>
      <c r="H859" s="1">
        <v>2161.9499999999998</v>
      </c>
      <c r="I859" s="1">
        <v>1380.69</v>
      </c>
      <c r="J859" s="1">
        <v>781.26</v>
      </c>
      <c r="K859" s="8" t="str">
        <f t="shared" si="13"/>
        <v>Dec</v>
      </c>
    </row>
    <row r="860" spans="1:11">
      <c r="A860" s="1" t="s">
        <v>884</v>
      </c>
      <c r="B860" s="2">
        <v>45733</v>
      </c>
      <c r="C860" s="1" t="s">
        <v>31</v>
      </c>
      <c r="D860" s="1" t="s">
        <v>13</v>
      </c>
      <c r="E860" s="1" t="s">
        <v>33</v>
      </c>
      <c r="F860" s="1">
        <v>169</v>
      </c>
      <c r="G860" s="1">
        <v>16.84</v>
      </c>
      <c r="H860" s="1">
        <v>2845.96</v>
      </c>
      <c r="I860" s="1">
        <v>1740.35</v>
      </c>
      <c r="J860" s="1">
        <v>1105.6099999999999</v>
      </c>
      <c r="K860" s="8" t="str">
        <f t="shared" si="13"/>
        <v>Mar</v>
      </c>
    </row>
    <row r="861" spans="1:11">
      <c r="A861" s="1" t="s">
        <v>885</v>
      </c>
      <c r="B861" s="2">
        <v>45712</v>
      </c>
      <c r="C861" s="1" t="s">
        <v>16</v>
      </c>
      <c r="D861" s="1" t="s">
        <v>13</v>
      </c>
      <c r="E861" s="1" t="s">
        <v>18</v>
      </c>
      <c r="F861" s="1">
        <v>83</v>
      </c>
      <c r="G861" s="1">
        <v>26.53</v>
      </c>
      <c r="H861" s="1">
        <v>2201.9899999999998</v>
      </c>
      <c r="I861" s="1">
        <v>1727.22</v>
      </c>
      <c r="J861" s="1">
        <v>474.77</v>
      </c>
      <c r="K861" s="8" t="str">
        <f t="shared" si="13"/>
        <v>Feb</v>
      </c>
    </row>
    <row r="862" spans="1:11">
      <c r="A862" s="1" t="s">
        <v>886</v>
      </c>
      <c r="B862" s="2">
        <v>45756</v>
      </c>
      <c r="C862" s="1" t="s">
        <v>28</v>
      </c>
      <c r="D862" s="1" t="s">
        <v>17</v>
      </c>
      <c r="E862" s="1" t="s">
        <v>26</v>
      </c>
      <c r="F862" s="1">
        <v>30</v>
      </c>
      <c r="G862" s="1">
        <v>32.44</v>
      </c>
      <c r="H862" s="1">
        <v>973.2</v>
      </c>
      <c r="I862" s="1">
        <v>751.04</v>
      </c>
      <c r="J862" s="1">
        <v>222.16</v>
      </c>
      <c r="K862" s="8" t="str">
        <f t="shared" si="13"/>
        <v>Apr</v>
      </c>
    </row>
    <row r="863" spans="1:11">
      <c r="A863" s="1" t="s">
        <v>887</v>
      </c>
      <c r="B863" s="2">
        <v>45980</v>
      </c>
      <c r="C863" s="1" t="s">
        <v>16</v>
      </c>
      <c r="D863" s="1" t="s">
        <v>13</v>
      </c>
      <c r="E863" s="1" t="s">
        <v>26</v>
      </c>
      <c r="F863" s="1">
        <v>101</v>
      </c>
      <c r="G863" s="1">
        <v>27.91</v>
      </c>
      <c r="H863" s="1">
        <v>2818.91</v>
      </c>
      <c r="I863" s="1">
        <v>2242.04</v>
      </c>
      <c r="J863" s="1">
        <v>576.87</v>
      </c>
      <c r="K863" s="8" t="str">
        <f t="shared" si="13"/>
        <v>Nov</v>
      </c>
    </row>
    <row r="864" spans="1:11">
      <c r="A864" s="1" t="s">
        <v>888</v>
      </c>
      <c r="B864" s="2">
        <v>45740</v>
      </c>
      <c r="C864" s="1" t="s">
        <v>36</v>
      </c>
      <c r="D864" s="1" t="s">
        <v>29</v>
      </c>
      <c r="E864" s="1" t="s">
        <v>20</v>
      </c>
      <c r="F864" s="1">
        <v>73</v>
      </c>
      <c r="G864" s="1">
        <v>11.17</v>
      </c>
      <c r="H864" s="1">
        <v>815.41</v>
      </c>
      <c r="I864" s="1">
        <v>542.71</v>
      </c>
      <c r="J864" s="1">
        <v>272.7</v>
      </c>
      <c r="K864" s="8" t="str">
        <f t="shared" si="13"/>
        <v>Mar</v>
      </c>
    </row>
    <row r="865" spans="1:11">
      <c r="A865" s="1" t="s">
        <v>889</v>
      </c>
      <c r="B865" s="2">
        <v>45715</v>
      </c>
      <c r="C865" s="1" t="s">
        <v>12</v>
      </c>
      <c r="D865" s="1" t="s">
        <v>17</v>
      </c>
      <c r="E865" s="1" t="s">
        <v>33</v>
      </c>
      <c r="F865" s="1">
        <v>247</v>
      </c>
      <c r="G865" s="1">
        <v>14.86</v>
      </c>
      <c r="H865" s="1">
        <v>3670.42</v>
      </c>
      <c r="I865" s="1">
        <v>2335.0700000000002</v>
      </c>
      <c r="J865" s="1">
        <v>1335.35</v>
      </c>
      <c r="K865" s="8" t="str">
        <f t="shared" si="13"/>
        <v>Feb</v>
      </c>
    </row>
    <row r="866" spans="1:11">
      <c r="A866" s="1" t="s">
        <v>890</v>
      </c>
      <c r="B866" s="2">
        <v>45759</v>
      </c>
      <c r="C866" s="1" t="s">
        <v>31</v>
      </c>
      <c r="D866" s="1" t="s">
        <v>17</v>
      </c>
      <c r="E866" s="1" t="s">
        <v>18</v>
      </c>
      <c r="F866" s="1">
        <v>194</v>
      </c>
      <c r="G866" s="1">
        <v>13.63</v>
      </c>
      <c r="H866" s="1">
        <v>2644.22</v>
      </c>
      <c r="I866" s="1">
        <v>2039.75</v>
      </c>
      <c r="J866" s="1">
        <v>604.47</v>
      </c>
      <c r="K866" s="8" t="str">
        <f t="shared" si="13"/>
        <v>Apr</v>
      </c>
    </row>
    <row r="867" spans="1:11">
      <c r="A867" s="1" t="s">
        <v>891</v>
      </c>
      <c r="B867" s="2">
        <v>45787</v>
      </c>
      <c r="C867" s="1" t="s">
        <v>36</v>
      </c>
      <c r="D867" s="1" t="s">
        <v>29</v>
      </c>
      <c r="E867" s="1" t="s">
        <v>20</v>
      </c>
      <c r="F867" s="1">
        <v>238</v>
      </c>
      <c r="G867" s="1">
        <v>16.98</v>
      </c>
      <c r="H867" s="1">
        <v>4041.24</v>
      </c>
      <c r="I867" s="1">
        <v>3212.47</v>
      </c>
      <c r="J867" s="1">
        <v>828.77</v>
      </c>
      <c r="K867" s="8" t="str">
        <f t="shared" si="13"/>
        <v>May</v>
      </c>
    </row>
    <row r="868" spans="1:11">
      <c r="A868" s="1" t="s">
        <v>892</v>
      </c>
      <c r="B868" s="2">
        <v>45742</v>
      </c>
      <c r="C868" s="1" t="s">
        <v>36</v>
      </c>
      <c r="D868" s="1" t="s">
        <v>29</v>
      </c>
      <c r="E868" s="1" t="s">
        <v>33</v>
      </c>
      <c r="F868" s="1">
        <v>102</v>
      </c>
      <c r="G868" s="1">
        <v>36.78</v>
      </c>
      <c r="H868" s="1">
        <v>3751.56</v>
      </c>
      <c r="I868" s="1">
        <v>2846.46</v>
      </c>
      <c r="J868" s="1">
        <v>905.1</v>
      </c>
      <c r="K868" s="8" t="str">
        <f t="shared" si="13"/>
        <v>Mar</v>
      </c>
    </row>
    <row r="869" spans="1:11">
      <c r="A869" s="1" t="s">
        <v>893</v>
      </c>
      <c r="B869" s="2">
        <v>45688</v>
      </c>
      <c r="C869" s="1" t="s">
        <v>16</v>
      </c>
      <c r="D869" s="1" t="s">
        <v>17</v>
      </c>
      <c r="E869" s="1" t="s">
        <v>23</v>
      </c>
      <c r="F869" s="1">
        <v>238</v>
      </c>
      <c r="G869" s="1">
        <v>25.91</v>
      </c>
      <c r="H869" s="1">
        <v>6166.58</v>
      </c>
      <c r="I869" s="1">
        <v>4539.47</v>
      </c>
      <c r="J869" s="1">
        <v>1627.11</v>
      </c>
      <c r="K869" s="8" t="str">
        <f t="shared" si="13"/>
        <v>Jan</v>
      </c>
    </row>
    <row r="870" spans="1:11">
      <c r="A870" s="1" t="s">
        <v>894</v>
      </c>
      <c r="B870" s="2">
        <v>45952</v>
      </c>
      <c r="C870" s="1" t="s">
        <v>12</v>
      </c>
      <c r="D870" s="1" t="s">
        <v>29</v>
      </c>
      <c r="E870" s="1" t="s">
        <v>14</v>
      </c>
      <c r="F870" s="1">
        <v>17</v>
      </c>
      <c r="G870" s="1">
        <v>23.55</v>
      </c>
      <c r="H870" s="1">
        <v>400.35</v>
      </c>
      <c r="I870" s="1">
        <v>310.77999999999997</v>
      </c>
      <c r="J870" s="1">
        <v>89.57</v>
      </c>
      <c r="K870" s="8" t="str">
        <f t="shared" si="13"/>
        <v>Oct</v>
      </c>
    </row>
    <row r="871" spans="1:11">
      <c r="A871" s="1" t="s">
        <v>895</v>
      </c>
      <c r="B871" s="2">
        <v>45996</v>
      </c>
      <c r="C871" s="1" t="s">
        <v>16</v>
      </c>
      <c r="D871" s="1" t="s">
        <v>29</v>
      </c>
      <c r="E871" s="1" t="s">
        <v>23</v>
      </c>
      <c r="F871" s="1">
        <v>212</v>
      </c>
      <c r="G871" s="1">
        <v>25.34</v>
      </c>
      <c r="H871" s="1">
        <v>5372.08</v>
      </c>
      <c r="I871" s="1">
        <v>3381.69</v>
      </c>
      <c r="J871" s="1">
        <v>1990.39</v>
      </c>
      <c r="K871" s="8" t="str">
        <f t="shared" si="13"/>
        <v>Dec</v>
      </c>
    </row>
    <row r="872" spans="1:11">
      <c r="A872" s="1" t="s">
        <v>896</v>
      </c>
      <c r="B872" s="2">
        <v>45730</v>
      </c>
      <c r="C872" s="1" t="s">
        <v>36</v>
      </c>
      <c r="D872" s="1" t="s">
        <v>29</v>
      </c>
      <c r="E872" s="1" t="s">
        <v>26</v>
      </c>
      <c r="F872" s="1">
        <v>264</v>
      </c>
      <c r="G872" s="1">
        <v>15.25</v>
      </c>
      <c r="H872" s="1">
        <v>4026</v>
      </c>
      <c r="I872" s="1">
        <v>2724.25</v>
      </c>
      <c r="J872" s="1">
        <v>1301.75</v>
      </c>
      <c r="K872" s="8" t="str">
        <f t="shared" si="13"/>
        <v>Mar</v>
      </c>
    </row>
    <row r="873" spans="1:11">
      <c r="A873" s="1" t="s">
        <v>897</v>
      </c>
      <c r="B873" s="2">
        <v>45914</v>
      </c>
      <c r="C873" s="1" t="s">
        <v>31</v>
      </c>
      <c r="D873" s="1" t="s">
        <v>17</v>
      </c>
      <c r="E873" s="1" t="s">
        <v>33</v>
      </c>
      <c r="F873" s="1">
        <v>273</v>
      </c>
      <c r="G873" s="1">
        <v>38.159999999999997</v>
      </c>
      <c r="H873" s="1">
        <v>10417.68</v>
      </c>
      <c r="I873" s="1">
        <v>8010.09</v>
      </c>
      <c r="J873" s="1">
        <v>2407.59</v>
      </c>
      <c r="K873" s="8" t="str">
        <f t="shared" si="13"/>
        <v>Sep</v>
      </c>
    </row>
    <row r="874" spans="1:11">
      <c r="A874" s="1" t="s">
        <v>898</v>
      </c>
      <c r="B874" s="2">
        <v>46000</v>
      </c>
      <c r="C874" s="1" t="s">
        <v>28</v>
      </c>
      <c r="D874" s="1" t="s">
        <v>17</v>
      </c>
      <c r="E874" s="1" t="s">
        <v>18</v>
      </c>
      <c r="F874" s="1">
        <v>106</v>
      </c>
      <c r="G874" s="1">
        <v>27.1</v>
      </c>
      <c r="H874" s="1">
        <v>2872.6</v>
      </c>
      <c r="I874" s="1">
        <v>2142.0300000000002</v>
      </c>
      <c r="J874" s="1">
        <v>730.57</v>
      </c>
      <c r="K874" s="8" t="str">
        <f t="shared" si="13"/>
        <v>Dec</v>
      </c>
    </row>
    <row r="875" spans="1:11">
      <c r="A875" s="1" t="s">
        <v>899</v>
      </c>
      <c r="B875" s="2">
        <v>45954</v>
      </c>
      <c r="C875" s="1" t="s">
        <v>31</v>
      </c>
      <c r="D875" s="1" t="s">
        <v>13</v>
      </c>
      <c r="E875" s="1" t="s">
        <v>33</v>
      </c>
      <c r="F875" s="1">
        <v>92</v>
      </c>
      <c r="G875" s="1">
        <v>19.489999999999998</v>
      </c>
      <c r="H875" s="1">
        <v>1793.08</v>
      </c>
      <c r="I875" s="1">
        <v>1210.9000000000001</v>
      </c>
      <c r="J875" s="1">
        <v>582.17999999999995</v>
      </c>
      <c r="K875" s="8" t="str">
        <f t="shared" si="13"/>
        <v>Oct</v>
      </c>
    </row>
    <row r="876" spans="1:11">
      <c r="A876" s="1" t="s">
        <v>900</v>
      </c>
      <c r="B876" s="2">
        <v>45972</v>
      </c>
      <c r="C876" s="1" t="s">
        <v>31</v>
      </c>
      <c r="D876" s="1" t="s">
        <v>29</v>
      </c>
      <c r="E876" s="1" t="s">
        <v>23</v>
      </c>
      <c r="F876" s="1">
        <v>12</v>
      </c>
      <c r="G876" s="1">
        <v>39.72</v>
      </c>
      <c r="H876" s="1">
        <v>476.64</v>
      </c>
      <c r="I876" s="1">
        <v>351.57</v>
      </c>
      <c r="J876" s="1">
        <v>125.07</v>
      </c>
      <c r="K876" s="8" t="str">
        <f t="shared" si="13"/>
        <v>Nov</v>
      </c>
    </row>
    <row r="877" spans="1:11">
      <c r="A877" s="1" t="s">
        <v>901</v>
      </c>
      <c r="B877" s="2">
        <v>45792</v>
      </c>
      <c r="C877" s="1" t="s">
        <v>28</v>
      </c>
      <c r="D877" s="1" t="s">
        <v>17</v>
      </c>
      <c r="E877" s="1" t="s">
        <v>26</v>
      </c>
      <c r="F877" s="1">
        <v>182</v>
      </c>
      <c r="G877" s="1">
        <v>14.75</v>
      </c>
      <c r="H877" s="1">
        <v>2684.5</v>
      </c>
      <c r="I877" s="1">
        <v>2071.1799999999998</v>
      </c>
      <c r="J877" s="1">
        <v>613.32000000000005</v>
      </c>
      <c r="K877" s="8" t="str">
        <f t="shared" si="13"/>
        <v>May</v>
      </c>
    </row>
    <row r="878" spans="1:11">
      <c r="A878" s="1" t="s">
        <v>902</v>
      </c>
      <c r="B878" s="2">
        <v>45909</v>
      </c>
      <c r="C878" s="1" t="s">
        <v>12</v>
      </c>
      <c r="D878" s="1" t="s">
        <v>17</v>
      </c>
      <c r="E878" s="1" t="s">
        <v>14</v>
      </c>
      <c r="F878" s="1">
        <v>33</v>
      </c>
      <c r="G878" s="1">
        <v>14.47</v>
      </c>
      <c r="H878" s="1">
        <v>477.51</v>
      </c>
      <c r="I878" s="1">
        <v>359.19</v>
      </c>
      <c r="J878" s="1">
        <v>118.32</v>
      </c>
      <c r="K878" s="8" t="str">
        <f t="shared" si="13"/>
        <v>Sep</v>
      </c>
    </row>
    <row r="879" spans="1:11">
      <c r="A879" s="1" t="s">
        <v>903</v>
      </c>
      <c r="B879" s="2">
        <v>45958</v>
      </c>
      <c r="C879" s="1" t="s">
        <v>16</v>
      </c>
      <c r="D879" s="1" t="s">
        <v>29</v>
      </c>
      <c r="E879" s="1" t="s">
        <v>20</v>
      </c>
      <c r="F879" s="1">
        <v>269</v>
      </c>
      <c r="G879" s="1">
        <v>22.82</v>
      </c>
      <c r="H879" s="1">
        <v>6138.58</v>
      </c>
      <c r="I879" s="1">
        <v>4829.05</v>
      </c>
      <c r="J879" s="1">
        <v>1309.53</v>
      </c>
      <c r="K879" s="8" t="str">
        <f t="shared" si="13"/>
        <v>Oct</v>
      </c>
    </row>
    <row r="880" spans="1:11">
      <c r="A880" s="1" t="s">
        <v>904</v>
      </c>
      <c r="B880" s="2">
        <v>45710</v>
      </c>
      <c r="C880" s="1" t="s">
        <v>28</v>
      </c>
      <c r="D880" s="1" t="s">
        <v>17</v>
      </c>
      <c r="E880" s="1" t="s">
        <v>33</v>
      </c>
      <c r="F880" s="1">
        <v>202</v>
      </c>
      <c r="G880" s="1">
        <v>18.3</v>
      </c>
      <c r="H880" s="1">
        <v>3696.6</v>
      </c>
      <c r="I880" s="1">
        <v>2302.0100000000002</v>
      </c>
      <c r="J880" s="1">
        <v>1394.59</v>
      </c>
      <c r="K880" s="8" t="str">
        <f t="shared" si="13"/>
        <v>Feb</v>
      </c>
    </row>
    <row r="881" spans="1:11">
      <c r="A881" s="1" t="s">
        <v>905</v>
      </c>
      <c r="B881" s="2">
        <v>45789</v>
      </c>
      <c r="C881" s="1" t="s">
        <v>16</v>
      </c>
      <c r="D881" s="1" t="s">
        <v>13</v>
      </c>
      <c r="E881" s="1" t="s">
        <v>18</v>
      </c>
      <c r="F881" s="1">
        <v>51</v>
      </c>
      <c r="G881" s="1">
        <v>31.91</v>
      </c>
      <c r="H881" s="1">
        <v>1627.41</v>
      </c>
      <c r="I881" s="1">
        <v>1187.5999999999999</v>
      </c>
      <c r="J881" s="1">
        <v>439.81</v>
      </c>
      <c r="K881" s="8" t="str">
        <f t="shared" si="13"/>
        <v>May</v>
      </c>
    </row>
    <row r="882" spans="1:11">
      <c r="A882" s="1" t="s">
        <v>906</v>
      </c>
      <c r="B882" s="2">
        <v>45811</v>
      </c>
      <c r="C882" s="1" t="s">
        <v>31</v>
      </c>
      <c r="D882" s="1" t="s">
        <v>13</v>
      </c>
      <c r="E882" s="1" t="s">
        <v>23</v>
      </c>
      <c r="F882" s="1">
        <v>119</v>
      </c>
      <c r="G882" s="1">
        <v>11.95</v>
      </c>
      <c r="H882" s="1">
        <v>1422.05</v>
      </c>
      <c r="I882" s="1">
        <v>926.65</v>
      </c>
      <c r="J882" s="1">
        <v>495.4</v>
      </c>
      <c r="K882" s="8" t="str">
        <f t="shared" si="13"/>
        <v>Jun</v>
      </c>
    </row>
    <row r="883" spans="1:11">
      <c r="A883" s="1" t="s">
        <v>907</v>
      </c>
      <c r="B883" s="2">
        <v>45914</v>
      </c>
      <c r="C883" s="1" t="s">
        <v>36</v>
      </c>
      <c r="D883" s="1" t="s">
        <v>17</v>
      </c>
      <c r="E883" s="1" t="s">
        <v>18</v>
      </c>
      <c r="F883" s="1">
        <v>279</v>
      </c>
      <c r="G883" s="1">
        <v>22.8</v>
      </c>
      <c r="H883" s="1">
        <v>6361.2</v>
      </c>
      <c r="I883" s="1">
        <v>4544.13</v>
      </c>
      <c r="J883" s="1">
        <v>1817.07</v>
      </c>
      <c r="K883" s="8" t="str">
        <f t="shared" si="13"/>
        <v>Sep</v>
      </c>
    </row>
    <row r="884" spans="1:11">
      <c r="A884" s="1" t="s">
        <v>908</v>
      </c>
      <c r="B884" s="2">
        <v>45987</v>
      </c>
      <c r="C884" s="1" t="s">
        <v>28</v>
      </c>
      <c r="D884" s="1" t="s">
        <v>13</v>
      </c>
      <c r="E884" s="1" t="s">
        <v>26</v>
      </c>
      <c r="F884" s="1">
        <v>172</v>
      </c>
      <c r="G884" s="1">
        <v>22.04</v>
      </c>
      <c r="H884" s="1">
        <v>3790.88</v>
      </c>
      <c r="I884" s="1">
        <v>2994.8</v>
      </c>
      <c r="J884" s="1">
        <v>796.08</v>
      </c>
      <c r="K884" s="8" t="str">
        <f t="shared" si="13"/>
        <v>Nov</v>
      </c>
    </row>
    <row r="885" spans="1:11">
      <c r="A885" s="1" t="s">
        <v>909</v>
      </c>
      <c r="B885" s="2">
        <v>45732</v>
      </c>
      <c r="C885" s="1" t="s">
        <v>12</v>
      </c>
      <c r="D885" s="1" t="s">
        <v>29</v>
      </c>
      <c r="E885" s="1" t="s">
        <v>33</v>
      </c>
      <c r="F885" s="1">
        <v>161</v>
      </c>
      <c r="G885" s="1">
        <v>11.61</v>
      </c>
      <c r="H885" s="1">
        <v>1869.21</v>
      </c>
      <c r="I885" s="1">
        <v>1490.99</v>
      </c>
      <c r="J885" s="1">
        <v>378.22</v>
      </c>
      <c r="K885" s="8" t="str">
        <f t="shared" si="13"/>
        <v>Mar</v>
      </c>
    </row>
    <row r="886" spans="1:11">
      <c r="A886" s="1" t="s">
        <v>910</v>
      </c>
      <c r="B886" s="2">
        <v>45725</v>
      </c>
      <c r="C886" s="1" t="s">
        <v>22</v>
      </c>
      <c r="D886" s="1" t="s">
        <v>17</v>
      </c>
      <c r="E886" s="1" t="s">
        <v>23</v>
      </c>
      <c r="F886" s="1">
        <v>190</v>
      </c>
      <c r="G886" s="1">
        <v>29.11</v>
      </c>
      <c r="H886" s="1">
        <v>5530.9</v>
      </c>
      <c r="I886" s="1">
        <v>3735.03</v>
      </c>
      <c r="J886" s="1">
        <v>1795.87</v>
      </c>
      <c r="K886" s="8" t="str">
        <f t="shared" si="13"/>
        <v>Mar</v>
      </c>
    </row>
    <row r="887" spans="1:11">
      <c r="A887" s="1" t="s">
        <v>911</v>
      </c>
      <c r="B887" s="2">
        <v>45675</v>
      </c>
      <c r="C887" s="1" t="s">
        <v>16</v>
      </c>
      <c r="D887" s="1" t="s">
        <v>13</v>
      </c>
      <c r="E887" s="1" t="s">
        <v>18</v>
      </c>
      <c r="F887" s="1">
        <v>237</v>
      </c>
      <c r="G887" s="1">
        <v>24.34</v>
      </c>
      <c r="H887" s="1">
        <v>5768.58</v>
      </c>
      <c r="I887" s="1">
        <v>3561.39</v>
      </c>
      <c r="J887" s="1">
        <v>2207.19</v>
      </c>
      <c r="K887" s="8" t="str">
        <f t="shared" si="13"/>
        <v>Jan</v>
      </c>
    </row>
    <row r="888" spans="1:11">
      <c r="A888" s="1" t="s">
        <v>912</v>
      </c>
      <c r="B888" s="2">
        <v>45965</v>
      </c>
      <c r="C888" s="1" t="s">
        <v>31</v>
      </c>
      <c r="D888" s="1" t="s">
        <v>17</v>
      </c>
      <c r="E888" s="1" t="s">
        <v>23</v>
      </c>
      <c r="F888" s="1">
        <v>250</v>
      </c>
      <c r="G888" s="1">
        <v>36.28</v>
      </c>
      <c r="H888" s="1">
        <v>9070</v>
      </c>
      <c r="I888" s="1">
        <v>5588.03</v>
      </c>
      <c r="J888" s="1">
        <v>3481.97</v>
      </c>
      <c r="K888" s="8" t="str">
        <f t="shared" si="13"/>
        <v>Nov</v>
      </c>
    </row>
    <row r="889" spans="1:11">
      <c r="A889" s="1" t="s">
        <v>913</v>
      </c>
      <c r="B889" s="2">
        <v>45752</v>
      </c>
      <c r="C889" s="1" t="s">
        <v>36</v>
      </c>
      <c r="D889" s="1" t="s">
        <v>13</v>
      </c>
      <c r="E889" s="1" t="s">
        <v>23</v>
      </c>
      <c r="F889" s="1">
        <v>79</v>
      </c>
      <c r="G889" s="1">
        <v>29.36</v>
      </c>
      <c r="H889" s="1">
        <v>2319.44</v>
      </c>
      <c r="I889" s="1">
        <v>1743.21</v>
      </c>
      <c r="J889" s="1">
        <v>576.23</v>
      </c>
      <c r="K889" s="8" t="str">
        <f t="shared" si="13"/>
        <v>Apr</v>
      </c>
    </row>
    <row r="890" spans="1:11">
      <c r="A890" s="1" t="s">
        <v>914</v>
      </c>
      <c r="B890" s="2">
        <v>45791</v>
      </c>
      <c r="C890" s="1" t="s">
        <v>22</v>
      </c>
      <c r="D890" s="1" t="s">
        <v>17</v>
      </c>
      <c r="E890" s="1" t="s">
        <v>20</v>
      </c>
      <c r="F890" s="1">
        <v>182</v>
      </c>
      <c r="G890" s="1">
        <v>14.93</v>
      </c>
      <c r="H890" s="1">
        <v>2717.26</v>
      </c>
      <c r="I890" s="1">
        <v>2122.94</v>
      </c>
      <c r="J890" s="1">
        <v>594.32000000000005</v>
      </c>
      <c r="K890" s="8" t="str">
        <f t="shared" si="13"/>
        <v>May</v>
      </c>
    </row>
    <row r="891" spans="1:11">
      <c r="A891" s="1" t="s">
        <v>915</v>
      </c>
      <c r="B891" s="2">
        <v>45786</v>
      </c>
      <c r="C891" s="1" t="s">
        <v>12</v>
      </c>
      <c r="D891" s="1" t="s">
        <v>17</v>
      </c>
      <c r="E891" s="1" t="s">
        <v>26</v>
      </c>
      <c r="F891" s="1">
        <v>142</v>
      </c>
      <c r="G891" s="1">
        <v>37.380000000000003</v>
      </c>
      <c r="H891" s="1">
        <v>5307.96</v>
      </c>
      <c r="I891" s="1">
        <v>3419.55</v>
      </c>
      <c r="J891" s="1">
        <v>1888.41</v>
      </c>
      <c r="K891" s="8" t="str">
        <f t="shared" si="13"/>
        <v>May</v>
      </c>
    </row>
    <row r="892" spans="1:11">
      <c r="A892" s="1" t="s">
        <v>916</v>
      </c>
      <c r="B892" s="2">
        <v>45980</v>
      </c>
      <c r="C892" s="1" t="s">
        <v>28</v>
      </c>
      <c r="D892" s="1" t="s">
        <v>13</v>
      </c>
      <c r="E892" s="1" t="s">
        <v>26</v>
      </c>
      <c r="F892" s="1">
        <v>206</v>
      </c>
      <c r="G892" s="1">
        <v>25.99</v>
      </c>
      <c r="H892" s="1">
        <v>5353.94</v>
      </c>
      <c r="I892" s="1">
        <v>4127.71</v>
      </c>
      <c r="J892" s="1">
        <v>1226.23</v>
      </c>
      <c r="K892" s="8" t="str">
        <f t="shared" si="13"/>
        <v>Nov</v>
      </c>
    </row>
    <row r="893" spans="1:11">
      <c r="A893" s="1" t="s">
        <v>917</v>
      </c>
      <c r="B893" s="2">
        <v>45871</v>
      </c>
      <c r="C893" s="1" t="s">
        <v>36</v>
      </c>
      <c r="D893" s="1" t="s">
        <v>17</v>
      </c>
      <c r="E893" s="1" t="s">
        <v>20</v>
      </c>
      <c r="F893" s="1">
        <v>250</v>
      </c>
      <c r="G893" s="1">
        <v>34.17</v>
      </c>
      <c r="H893" s="1">
        <v>8542.5</v>
      </c>
      <c r="I893" s="1">
        <v>6290.69</v>
      </c>
      <c r="J893" s="1">
        <v>2251.81</v>
      </c>
      <c r="K893" s="8" t="str">
        <f t="shared" si="13"/>
        <v>Aug</v>
      </c>
    </row>
    <row r="894" spans="1:11">
      <c r="A894" s="1" t="s">
        <v>918</v>
      </c>
      <c r="B894" s="2">
        <v>45992</v>
      </c>
      <c r="C894" s="1" t="s">
        <v>22</v>
      </c>
      <c r="D894" s="1" t="s">
        <v>17</v>
      </c>
      <c r="E894" s="1" t="s">
        <v>20</v>
      </c>
      <c r="F894" s="1">
        <v>247</v>
      </c>
      <c r="G894" s="1">
        <v>24.43</v>
      </c>
      <c r="H894" s="1">
        <v>6034.21</v>
      </c>
      <c r="I894" s="1">
        <v>4260.18</v>
      </c>
      <c r="J894" s="1">
        <v>1774.03</v>
      </c>
      <c r="K894" s="8" t="str">
        <f t="shared" si="13"/>
        <v>Dec</v>
      </c>
    </row>
    <row r="895" spans="1:11">
      <c r="A895" s="1" t="s">
        <v>919</v>
      </c>
      <c r="B895" s="2">
        <v>45924</v>
      </c>
      <c r="C895" s="1" t="s">
        <v>22</v>
      </c>
      <c r="D895" s="1" t="s">
        <v>13</v>
      </c>
      <c r="E895" s="1" t="s">
        <v>18</v>
      </c>
      <c r="F895" s="1">
        <v>71</v>
      </c>
      <c r="G895" s="1">
        <v>26.62</v>
      </c>
      <c r="H895" s="1">
        <v>1890.02</v>
      </c>
      <c r="I895" s="1">
        <v>1287.1600000000001</v>
      </c>
      <c r="J895" s="1">
        <v>602.86</v>
      </c>
      <c r="K895" s="8" t="str">
        <f t="shared" si="13"/>
        <v>Sep</v>
      </c>
    </row>
    <row r="896" spans="1:11">
      <c r="A896" s="1" t="s">
        <v>920</v>
      </c>
      <c r="B896" s="2">
        <v>45898</v>
      </c>
      <c r="C896" s="1" t="s">
        <v>16</v>
      </c>
      <c r="D896" s="1" t="s">
        <v>29</v>
      </c>
      <c r="E896" s="1" t="s">
        <v>18</v>
      </c>
      <c r="F896" s="1">
        <v>262</v>
      </c>
      <c r="G896" s="1">
        <v>38</v>
      </c>
      <c r="H896" s="1">
        <v>9956</v>
      </c>
      <c r="I896" s="1">
        <v>7095.08</v>
      </c>
      <c r="J896" s="1">
        <v>2860.92</v>
      </c>
      <c r="K896" s="8" t="str">
        <f t="shared" si="13"/>
        <v>Aug</v>
      </c>
    </row>
    <row r="897" spans="1:11">
      <c r="A897" s="1" t="s">
        <v>921</v>
      </c>
      <c r="B897" s="2">
        <v>45959</v>
      </c>
      <c r="C897" s="1" t="s">
        <v>31</v>
      </c>
      <c r="D897" s="1" t="s">
        <v>17</v>
      </c>
      <c r="E897" s="1" t="s">
        <v>26</v>
      </c>
      <c r="F897" s="1">
        <v>178</v>
      </c>
      <c r="G897" s="1">
        <v>14.86</v>
      </c>
      <c r="H897" s="1">
        <v>2645.08</v>
      </c>
      <c r="I897" s="1">
        <v>2055.8000000000002</v>
      </c>
      <c r="J897" s="1">
        <v>589.28</v>
      </c>
      <c r="K897" s="8" t="str">
        <f t="shared" si="13"/>
        <v>Oct</v>
      </c>
    </row>
    <row r="898" spans="1:11">
      <c r="A898" s="1" t="s">
        <v>922</v>
      </c>
      <c r="B898" s="2">
        <v>45729</v>
      </c>
      <c r="C898" s="1" t="s">
        <v>28</v>
      </c>
      <c r="D898" s="1" t="s">
        <v>29</v>
      </c>
      <c r="E898" s="1" t="s">
        <v>23</v>
      </c>
      <c r="F898" s="1">
        <v>265</v>
      </c>
      <c r="G898" s="1">
        <v>27.47</v>
      </c>
      <c r="H898" s="1">
        <v>7279.55</v>
      </c>
      <c r="I898" s="1">
        <v>5775.33</v>
      </c>
      <c r="J898" s="1">
        <v>1504.22</v>
      </c>
      <c r="K898" s="8" t="str">
        <f t="shared" ref="K898:K961" si="14">TEXT(B898,"mmm")</f>
        <v>Mar</v>
      </c>
    </row>
    <row r="899" spans="1:11">
      <c r="A899" s="1" t="s">
        <v>923</v>
      </c>
      <c r="B899" s="2">
        <v>45749</v>
      </c>
      <c r="C899" s="1" t="s">
        <v>28</v>
      </c>
      <c r="D899" s="1" t="s">
        <v>13</v>
      </c>
      <c r="E899" s="1" t="s">
        <v>14</v>
      </c>
      <c r="F899" s="1">
        <v>170</v>
      </c>
      <c r="G899" s="1">
        <v>33.11</v>
      </c>
      <c r="H899" s="1">
        <v>5628.7</v>
      </c>
      <c r="I899" s="1">
        <v>3735.02</v>
      </c>
      <c r="J899" s="1">
        <v>1893.68</v>
      </c>
      <c r="K899" s="8" t="str">
        <f t="shared" si="14"/>
        <v>Apr</v>
      </c>
    </row>
    <row r="900" spans="1:11">
      <c r="A900" s="1" t="s">
        <v>924</v>
      </c>
      <c r="B900" s="2">
        <v>45891</v>
      </c>
      <c r="C900" s="1" t="s">
        <v>36</v>
      </c>
      <c r="D900" s="1" t="s">
        <v>29</v>
      </c>
      <c r="E900" s="1" t="s">
        <v>14</v>
      </c>
      <c r="F900" s="1">
        <v>199</v>
      </c>
      <c r="G900" s="1">
        <v>26.89</v>
      </c>
      <c r="H900" s="1">
        <v>5351.11</v>
      </c>
      <c r="I900" s="1">
        <v>4225.4799999999996</v>
      </c>
      <c r="J900" s="1">
        <v>1125.6300000000001</v>
      </c>
      <c r="K900" s="8" t="str">
        <f t="shared" si="14"/>
        <v>Aug</v>
      </c>
    </row>
    <row r="901" spans="1:11">
      <c r="A901" s="1" t="s">
        <v>925</v>
      </c>
      <c r="B901" s="2">
        <v>45904</v>
      </c>
      <c r="C901" s="1" t="s">
        <v>36</v>
      </c>
      <c r="D901" s="1" t="s">
        <v>13</v>
      </c>
      <c r="E901" s="1" t="s">
        <v>14</v>
      </c>
      <c r="F901" s="1">
        <v>111</v>
      </c>
      <c r="G901" s="1">
        <v>26.3</v>
      </c>
      <c r="H901" s="1">
        <v>2919.3</v>
      </c>
      <c r="I901" s="1">
        <v>2255.1999999999998</v>
      </c>
      <c r="J901" s="1">
        <v>664.1</v>
      </c>
      <c r="K901" s="8" t="str">
        <f t="shared" si="14"/>
        <v>Sep</v>
      </c>
    </row>
    <row r="902" spans="1:11">
      <c r="A902" s="1" t="s">
        <v>926</v>
      </c>
      <c r="B902" s="2">
        <v>45754</v>
      </c>
      <c r="C902" s="1" t="s">
        <v>22</v>
      </c>
      <c r="D902" s="1" t="s">
        <v>29</v>
      </c>
      <c r="E902" s="1" t="s">
        <v>23</v>
      </c>
      <c r="F902" s="1">
        <v>107</v>
      </c>
      <c r="G902" s="1">
        <v>19.010000000000002</v>
      </c>
      <c r="H902" s="1">
        <v>2034.07</v>
      </c>
      <c r="I902" s="1">
        <v>1614.74</v>
      </c>
      <c r="J902" s="1">
        <v>419.33</v>
      </c>
      <c r="K902" s="8" t="str">
        <f t="shared" si="14"/>
        <v>Apr</v>
      </c>
    </row>
    <row r="903" spans="1:11">
      <c r="A903" s="1" t="s">
        <v>927</v>
      </c>
      <c r="B903" s="2">
        <v>45690</v>
      </c>
      <c r="C903" s="1" t="s">
        <v>22</v>
      </c>
      <c r="D903" s="1" t="s">
        <v>29</v>
      </c>
      <c r="E903" s="1" t="s">
        <v>23</v>
      </c>
      <c r="F903" s="1">
        <v>225</v>
      </c>
      <c r="G903" s="1">
        <v>10.3</v>
      </c>
      <c r="H903" s="1">
        <v>2317.5</v>
      </c>
      <c r="I903" s="1">
        <v>1646.89</v>
      </c>
      <c r="J903" s="1">
        <v>670.61</v>
      </c>
      <c r="K903" s="8" t="str">
        <f t="shared" si="14"/>
        <v>Feb</v>
      </c>
    </row>
    <row r="904" spans="1:11">
      <c r="A904" s="1" t="s">
        <v>928</v>
      </c>
      <c r="B904" s="2">
        <v>45997</v>
      </c>
      <c r="C904" s="1" t="s">
        <v>16</v>
      </c>
      <c r="D904" s="1" t="s">
        <v>29</v>
      </c>
      <c r="E904" s="1" t="s">
        <v>14</v>
      </c>
      <c r="F904" s="1">
        <v>70</v>
      </c>
      <c r="G904" s="1">
        <v>32.6</v>
      </c>
      <c r="H904" s="1">
        <v>2282</v>
      </c>
      <c r="I904" s="1">
        <v>1477.48</v>
      </c>
      <c r="J904" s="1">
        <v>804.52</v>
      </c>
      <c r="K904" s="8" t="str">
        <f t="shared" si="14"/>
        <v>Dec</v>
      </c>
    </row>
    <row r="905" spans="1:11">
      <c r="A905" s="1" t="s">
        <v>929</v>
      </c>
      <c r="B905" s="2">
        <v>45709</v>
      </c>
      <c r="C905" s="1" t="s">
        <v>16</v>
      </c>
      <c r="D905" s="1" t="s">
        <v>17</v>
      </c>
      <c r="E905" s="1" t="s">
        <v>26</v>
      </c>
      <c r="F905" s="1">
        <v>108</v>
      </c>
      <c r="G905" s="1">
        <v>30.35</v>
      </c>
      <c r="H905" s="1">
        <v>3277.8</v>
      </c>
      <c r="I905" s="1">
        <v>2434.2199999999998</v>
      </c>
      <c r="J905" s="1">
        <v>843.58</v>
      </c>
      <c r="K905" s="8" t="str">
        <f t="shared" si="14"/>
        <v>Feb</v>
      </c>
    </row>
    <row r="906" spans="1:11">
      <c r="A906" s="1" t="s">
        <v>930</v>
      </c>
      <c r="B906" s="2">
        <v>45876</v>
      </c>
      <c r="C906" s="1" t="s">
        <v>12</v>
      </c>
      <c r="D906" s="1" t="s">
        <v>29</v>
      </c>
      <c r="E906" s="1" t="s">
        <v>26</v>
      </c>
      <c r="F906" s="1">
        <v>54</v>
      </c>
      <c r="G906" s="1">
        <v>39.07</v>
      </c>
      <c r="H906" s="1">
        <v>2109.7800000000002</v>
      </c>
      <c r="I906" s="1">
        <v>1397.94</v>
      </c>
      <c r="J906" s="1">
        <v>711.84</v>
      </c>
      <c r="K906" s="8" t="str">
        <f t="shared" si="14"/>
        <v>Aug</v>
      </c>
    </row>
    <row r="907" spans="1:11">
      <c r="A907" s="1" t="s">
        <v>931</v>
      </c>
      <c r="B907" s="2">
        <v>45921</v>
      </c>
      <c r="C907" s="1" t="s">
        <v>12</v>
      </c>
      <c r="D907" s="1" t="s">
        <v>13</v>
      </c>
      <c r="E907" s="1" t="s">
        <v>26</v>
      </c>
      <c r="F907" s="1">
        <v>222</v>
      </c>
      <c r="G907" s="1">
        <v>20.5</v>
      </c>
      <c r="H907" s="1">
        <v>4551</v>
      </c>
      <c r="I907" s="1">
        <v>3376.95</v>
      </c>
      <c r="J907" s="1">
        <v>1174.05</v>
      </c>
      <c r="K907" s="8" t="str">
        <f t="shared" si="14"/>
        <v>Sep</v>
      </c>
    </row>
    <row r="908" spans="1:11">
      <c r="A908" s="1" t="s">
        <v>932</v>
      </c>
      <c r="B908" s="2">
        <v>45951</v>
      </c>
      <c r="C908" s="1" t="s">
        <v>22</v>
      </c>
      <c r="D908" s="1" t="s">
        <v>13</v>
      </c>
      <c r="E908" s="1" t="s">
        <v>20</v>
      </c>
      <c r="F908" s="1">
        <v>113</v>
      </c>
      <c r="G908" s="1">
        <v>39.65</v>
      </c>
      <c r="H908" s="1">
        <v>4480.45</v>
      </c>
      <c r="I908" s="1">
        <v>3500.27</v>
      </c>
      <c r="J908" s="1">
        <v>980.18</v>
      </c>
      <c r="K908" s="8" t="str">
        <f t="shared" si="14"/>
        <v>Oct</v>
      </c>
    </row>
    <row r="909" spans="1:11">
      <c r="A909" s="1" t="s">
        <v>933</v>
      </c>
      <c r="B909" s="2">
        <v>45720</v>
      </c>
      <c r="C909" s="1" t="s">
        <v>31</v>
      </c>
      <c r="D909" s="1" t="s">
        <v>29</v>
      </c>
      <c r="E909" s="1" t="s">
        <v>18</v>
      </c>
      <c r="F909" s="1">
        <v>146</v>
      </c>
      <c r="G909" s="1">
        <v>27.56</v>
      </c>
      <c r="H909" s="1">
        <v>4023.76</v>
      </c>
      <c r="I909" s="1">
        <v>3009.5</v>
      </c>
      <c r="J909" s="1">
        <v>1014.26</v>
      </c>
      <c r="K909" s="8" t="str">
        <f t="shared" si="14"/>
        <v>Mar</v>
      </c>
    </row>
    <row r="910" spans="1:11">
      <c r="A910" s="1" t="s">
        <v>934</v>
      </c>
      <c r="B910" s="2">
        <v>45865</v>
      </c>
      <c r="C910" s="1" t="s">
        <v>28</v>
      </c>
      <c r="D910" s="1" t="s">
        <v>13</v>
      </c>
      <c r="E910" s="1" t="s">
        <v>33</v>
      </c>
      <c r="F910" s="1">
        <v>23</v>
      </c>
      <c r="G910" s="1">
        <v>12.02</v>
      </c>
      <c r="H910" s="1">
        <v>276.45999999999998</v>
      </c>
      <c r="I910" s="1">
        <v>211.79</v>
      </c>
      <c r="J910" s="1">
        <v>64.67</v>
      </c>
      <c r="K910" s="8" t="str">
        <f t="shared" si="14"/>
        <v>Jul</v>
      </c>
    </row>
    <row r="911" spans="1:11">
      <c r="A911" s="1" t="s">
        <v>935</v>
      </c>
      <c r="B911" s="2">
        <v>45796</v>
      </c>
      <c r="C911" s="1" t="s">
        <v>36</v>
      </c>
      <c r="D911" s="1" t="s">
        <v>13</v>
      </c>
      <c r="E911" s="1" t="s">
        <v>26</v>
      </c>
      <c r="F911" s="1">
        <v>273</v>
      </c>
      <c r="G911" s="1">
        <v>14.44</v>
      </c>
      <c r="H911" s="1">
        <v>3942.12</v>
      </c>
      <c r="I911" s="1">
        <v>2652.44</v>
      </c>
      <c r="J911" s="1">
        <v>1289.68</v>
      </c>
      <c r="K911" s="8" t="str">
        <f t="shared" si="14"/>
        <v>May</v>
      </c>
    </row>
    <row r="912" spans="1:11">
      <c r="A912" s="1" t="s">
        <v>936</v>
      </c>
      <c r="B912" s="2">
        <v>45685</v>
      </c>
      <c r="C912" s="1" t="s">
        <v>22</v>
      </c>
      <c r="D912" s="1" t="s">
        <v>17</v>
      </c>
      <c r="E912" s="1" t="s">
        <v>33</v>
      </c>
      <c r="F912" s="1">
        <v>228</v>
      </c>
      <c r="G912" s="1">
        <v>28.7</v>
      </c>
      <c r="H912" s="1">
        <v>6543.6</v>
      </c>
      <c r="I912" s="1">
        <v>4781.33</v>
      </c>
      <c r="J912" s="1">
        <v>1762.27</v>
      </c>
      <c r="K912" s="8" t="str">
        <f t="shared" si="14"/>
        <v>Jan</v>
      </c>
    </row>
    <row r="913" spans="1:11">
      <c r="A913" s="1" t="s">
        <v>937</v>
      </c>
      <c r="B913" s="2">
        <v>45845</v>
      </c>
      <c r="C913" s="1" t="s">
        <v>31</v>
      </c>
      <c r="D913" s="1" t="s">
        <v>17</v>
      </c>
      <c r="E913" s="1" t="s">
        <v>23</v>
      </c>
      <c r="F913" s="1">
        <v>292</v>
      </c>
      <c r="G913" s="1">
        <v>14</v>
      </c>
      <c r="H913" s="1">
        <v>4088</v>
      </c>
      <c r="I913" s="1">
        <v>3204.27</v>
      </c>
      <c r="J913" s="1">
        <v>883.73</v>
      </c>
      <c r="K913" s="8" t="str">
        <f t="shared" si="14"/>
        <v>Jul</v>
      </c>
    </row>
    <row r="914" spans="1:11">
      <c r="A914" s="1" t="s">
        <v>938</v>
      </c>
      <c r="B914" s="2">
        <v>45730</v>
      </c>
      <c r="C914" s="1" t="s">
        <v>12</v>
      </c>
      <c r="D914" s="1" t="s">
        <v>13</v>
      </c>
      <c r="E914" s="1" t="s">
        <v>20</v>
      </c>
      <c r="F914" s="1">
        <v>93</v>
      </c>
      <c r="G914" s="1">
        <v>14.74</v>
      </c>
      <c r="H914" s="1">
        <v>1370.82</v>
      </c>
      <c r="I914" s="1">
        <v>863.44</v>
      </c>
      <c r="J914" s="1">
        <v>507.38</v>
      </c>
      <c r="K914" s="8" t="str">
        <f t="shared" si="14"/>
        <v>Mar</v>
      </c>
    </row>
    <row r="915" spans="1:11">
      <c r="A915" s="1" t="s">
        <v>939</v>
      </c>
      <c r="B915" s="2">
        <v>45816</v>
      </c>
      <c r="C915" s="1" t="s">
        <v>28</v>
      </c>
      <c r="D915" s="1" t="s">
        <v>17</v>
      </c>
      <c r="E915" s="1" t="s">
        <v>18</v>
      </c>
      <c r="F915" s="1">
        <v>267</v>
      </c>
      <c r="G915" s="1">
        <v>27.01</v>
      </c>
      <c r="H915" s="1">
        <v>7211.67</v>
      </c>
      <c r="I915" s="1">
        <v>4465.5600000000004</v>
      </c>
      <c r="J915" s="1">
        <v>2746.11</v>
      </c>
      <c r="K915" s="8" t="str">
        <f t="shared" si="14"/>
        <v>Jun</v>
      </c>
    </row>
    <row r="916" spans="1:11">
      <c r="A916" s="1" t="s">
        <v>940</v>
      </c>
      <c r="B916" s="2">
        <v>45936</v>
      </c>
      <c r="C916" s="1" t="s">
        <v>22</v>
      </c>
      <c r="D916" s="1" t="s">
        <v>13</v>
      </c>
      <c r="E916" s="1" t="s">
        <v>26</v>
      </c>
      <c r="F916" s="1">
        <v>17</v>
      </c>
      <c r="G916" s="1">
        <v>31.82</v>
      </c>
      <c r="H916" s="1">
        <v>540.94000000000005</v>
      </c>
      <c r="I916" s="1">
        <v>350.12</v>
      </c>
      <c r="J916" s="1">
        <v>190.82</v>
      </c>
      <c r="K916" s="8" t="str">
        <f t="shared" si="14"/>
        <v>Oct</v>
      </c>
    </row>
    <row r="917" spans="1:11">
      <c r="A917" s="1" t="s">
        <v>941</v>
      </c>
      <c r="B917" s="2">
        <v>45781</v>
      </c>
      <c r="C917" s="1" t="s">
        <v>28</v>
      </c>
      <c r="D917" s="1" t="s">
        <v>29</v>
      </c>
      <c r="E917" s="1" t="s">
        <v>18</v>
      </c>
      <c r="F917" s="1">
        <v>192</v>
      </c>
      <c r="G917" s="1">
        <v>17.239999999999998</v>
      </c>
      <c r="H917" s="1">
        <v>3310.08</v>
      </c>
      <c r="I917" s="1">
        <v>2047.34</v>
      </c>
      <c r="J917" s="1">
        <v>1262.74</v>
      </c>
      <c r="K917" s="8" t="str">
        <f t="shared" si="14"/>
        <v>May</v>
      </c>
    </row>
    <row r="918" spans="1:11">
      <c r="A918" s="1" t="s">
        <v>942</v>
      </c>
      <c r="B918" s="2">
        <v>45877</v>
      </c>
      <c r="C918" s="1" t="s">
        <v>36</v>
      </c>
      <c r="D918" s="1" t="s">
        <v>13</v>
      </c>
      <c r="E918" s="1" t="s">
        <v>18</v>
      </c>
      <c r="F918" s="1">
        <v>181</v>
      </c>
      <c r="G918" s="1">
        <v>24.29</v>
      </c>
      <c r="H918" s="1">
        <v>4396.49</v>
      </c>
      <c r="I918" s="1">
        <v>2674.45</v>
      </c>
      <c r="J918" s="1">
        <v>1722.04</v>
      </c>
      <c r="K918" s="8" t="str">
        <f t="shared" si="14"/>
        <v>Aug</v>
      </c>
    </row>
    <row r="919" spans="1:11">
      <c r="A919" s="1" t="s">
        <v>943</v>
      </c>
      <c r="B919" s="2">
        <v>45915</v>
      </c>
      <c r="C919" s="1" t="s">
        <v>22</v>
      </c>
      <c r="D919" s="1" t="s">
        <v>13</v>
      </c>
      <c r="E919" s="1" t="s">
        <v>26</v>
      </c>
      <c r="F919" s="1">
        <v>132</v>
      </c>
      <c r="G919" s="1">
        <v>37.71</v>
      </c>
      <c r="H919" s="1">
        <v>4977.72</v>
      </c>
      <c r="I919" s="1">
        <v>3587.98</v>
      </c>
      <c r="J919" s="1">
        <v>1389.74</v>
      </c>
      <c r="K919" s="8" t="str">
        <f t="shared" si="14"/>
        <v>Sep</v>
      </c>
    </row>
    <row r="920" spans="1:11">
      <c r="A920" s="1" t="s">
        <v>944</v>
      </c>
      <c r="B920" s="2">
        <v>45791</v>
      </c>
      <c r="C920" s="1" t="s">
        <v>31</v>
      </c>
      <c r="D920" s="1" t="s">
        <v>29</v>
      </c>
      <c r="E920" s="1" t="s">
        <v>26</v>
      </c>
      <c r="F920" s="1">
        <v>52</v>
      </c>
      <c r="G920" s="1">
        <v>33.22</v>
      </c>
      <c r="H920" s="1">
        <v>1727.44</v>
      </c>
      <c r="I920" s="1">
        <v>1297.1300000000001</v>
      </c>
      <c r="J920" s="1">
        <v>430.31</v>
      </c>
      <c r="K920" s="8" t="str">
        <f t="shared" si="14"/>
        <v>May</v>
      </c>
    </row>
    <row r="921" spans="1:11">
      <c r="A921" s="1" t="s">
        <v>945</v>
      </c>
      <c r="B921" s="2">
        <v>45874</v>
      </c>
      <c r="C921" s="1" t="s">
        <v>28</v>
      </c>
      <c r="D921" s="1" t="s">
        <v>13</v>
      </c>
      <c r="E921" s="1" t="s">
        <v>33</v>
      </c>
      <c r="F921" s="1">
        <v>167</v>
      </c>
      <c r="G921" s="1">
        <v>12.23</v>
      </c>
      <c r="H921" s="1">
        <v>2042.41</v>
      </c>
      <c r="I921" s="1">
        <v>1543.65</v>
      </c>
      <c r="J921" s="1">
        <v>498.76</v>
      </c>
      <c r="K921" s="8" t="str">
        <f t="shared" si="14"/>
        <v>Aug</v>
      </c>
    </row>
    <row r="922" spans="1:11">
      <c r="A922" s="1" t="s">
        <v>946</v>
      </c>
      <c r="B922" s="2">
        <v>45737</v>
      </c>
      <c r="C922" s="1" t="s">
        <v>16</v>
      </c>
      <c r="D922" s="1" t="s">
        <v>29</v>
      </c>
      <c r="E922" s="1" t="s">
        <v>23</v>
      </c>
      <c r="F922" s="1">
        <v>98</v>
      </c>
      <c r="G922" s="1">
        <v>19.16</v>
      </c>
      <c r="H922" s="1">
        <v>1877.68</v>
      </c>
      <c r="I922" s="1">
        <v>1248.3900000000001</v>
      </c>
      <c r="J922" s="1">
        <v>629.29</v>
      </c>
      <c r="K922" s="8" t="str">
        <f t="shared" si="14"/>
        <v>Mar</v>
      </c>
    </row>
    <row r="923" spans="1:11">
      <c r="A923" s="1" t="s">
        <v>947</v>
      </c>
      <c r="B923" s="2">
        <v>45877</v>
      </c>
      <c r="C923" s="1" t="s">
        <v>36</v>
      </c>
      <c r="D923" s="1" t="s">
        <v>29</v>
      </c>
      <c r="E923" s="1" t="s">
        <v>33</v>
      </c>
      <c r="F923" s="1">
        <v>94</v>
      </c>
      <c r="G923" s="1">
        <v>27.61</v>
      </c>
      <c r="H923" s="1">
        <v>2595.34</v>
      </c>
      <c r="I923" s="1">
        <v>1815.58</v>
      </c>
      <c r="J923" s="1">
        <v>779.76</v>
      </c>
      <c r="K923" s="8" t="str">
        <f t="shared" si="14"/>
        <v>Aug</v>
      </c>
    </row>
    <row r="924" spans="1:11">
      <c r="A924" s="1" t="s">
        <v>948</v>
      </c>
      <c r="B924" s="2">
        <v>45738</v>
      </c>
      <c r="C924" s="1" t="s">
        <v>16</v>
      </c>
      <c r="D924" s="1" t="s">
        <v>13</v>
      </c>
      <c r="E924" s="1" t="s">
        <v>23</v>
      </c>
      <c r="F924" s="1">
        <v>39</v>
      </c>
      <c r="G924" s="1">
        <v>18.55</v>
      </c>
      <c r="H924" s="1">
        <v>723.45</v>
      </c>
      <c r="I924" s="1">
        <v>439.8</v>
      </c>
      <c r="J924" s="1">
        <v>283.64999999999998</v>
      </c>
      <c r="K924" s="8" t="str">
        <f t="shared" si="14"/>
        <v>Mar</v>
      </c>
    </row>
    <row r="925" spans="1:11">
      <c r="A925" s="1" t="s">
        <v>949</v>
      </c>
      <c r="B925" s="2">
        <v>45755</v>
      </c>
      <c r="C925" s="1" t="s">
        <v>22</v>
      </c>
      <c r="D925" s="1" t="s">
        <v>17</v>
      </c>
      <c r="E925" s="1" t="s">
        <v>14</v>
      </c>
      <c r="F925" s="1">
        <v>271</v>
      </c>
      <c r="G925" s="1">
        <v>22.13</v>
      </c>
      <c r="H925" s="1">
        <v>5997.23</v>
      </c>
      <c r="I925" s="1">
        <v>3872.92</v>
      </c>
      <c r="J925" s="1">
        <v>2124.31</v>
      </c>
      <c r="K925" s="8" t="str">
        <f t="shared" si="14"/>
        <v>Apr</v>
      </c>
    </row>
    <row r="926" spans="1:11">
      <c r="A926" s="1" t="s">
        <v>950</v>
      </c>
      <c r="B926" s="2">
        <v>45996</v>
      </c>
      <c r="C926" s="1" t="s">
        <v>16</v>
      </c>
      <c r="D926" s="1" t="s">
        <v>29</v>
      </c>
      <c r="E926" s="1" t="s">
        <v>20</v>
      </c>
      <c r="F926" s="1">
        <v>242</v>
      </c>
      <c r="G926" s="1">
        <v>12.74</v>
      </c>
      <c r="H926" s="1">
        <v>3083.08</v>
      </c>
      <c r="I926" s="1">
        <v>2406.41</v>
      </c>
      <c r="J926" s="1">
        <v>676.67</v>
      </c>
      <c r="K926" s="8" t="str">
        <f t="shared" si="14"/>
        <v>Dec</v>
      </c>
    </row>
    <row r="927" spans="1:11">
      <c r="A927" s="1" t="s">
        <v>951</v>
      </c>
      <c r="B927" s="2">
        <v>45996</v>
      </c>
      <c r="C927" s="1" t="s">
        <v>12</v>
      </c>
      <c r="D927" s="1" t="s">
        <v>29</v>
      </c>
      <c r="E927" s="1" t="s">
        <v>14</v>
      </c>
      <c r="F927" s="1">
        <v>213</v>
      </c>
      <c r="G927" s="1">
        <v>13.03</v>
      </c>
      <c r="H927" s="1">
        <v>2775.39</v>
      </c>
      <c r="I927" s="1">
        <v>1891.68</v>
      </c>
      <c r="J927" s="1">
        <v>883.71</v>
      </c>
      <c r="K927" s="8" t="str">
        <f t="shared" si="14"/>
        <v>Dec</v>
      </c>
    </row>
    <row r="928" spans="1:11">
      <c r="A928" s="1" t="s">
        <v>952</v>
      </c>
      <c r="B928" s="2">
        <v>45844</v>
      </c>
      <c r="C928" s="1" t="s">
        <v>31</v>
      </c>
      <c r="D928" s="1" t="s">
        <v>13</v>
      </c>
      <c r="E928" s="1" t="s">
        <v>26</v>
      </c>
      <c r="F928" s="1">
        <v>181</v>
      </c>
      <c r="G928" s="1">
        <v>17.45</v>
      </c>
      <c r="H928" s="1">
        <v>3158.45</v>
      </c>
      <c r="I928" s="1">
        <v>2312.89</v>
      </c>
      <c r="J928" s="1">
        <v>845.56</v>
      </c>
      <c r="K928" s="8" t="str">
        <f t="shared" si="14"/>
        <v>Jul</v>
      </c>
    </row>
    <row r="929" spans="1:11">
      <c r="A929" s="1" t="s">
        <v>953</v>
      </c>
      <c r="B929" s="2">
        <v>45863</v>
      </c>
      <c r="C929" s="1" t="s">
        <v>22</v>
      </c>
      <c r="D929" s="1" t="s">
        <v>13</v>
      </c>
      <c r="E929" s="1" t="s">
        <v>26</v>
      </c>
      <c r="F929" s="1">
        <v>223</v>
      </c>
      <c r="G929" s="1">
        <v>30.65</v>
      </c>
      <c r="H929" s="1">
        <v>6834.95</v>
      </c>
      <c r="I929" s="1">
        <v>4689.75</v>
      </c>
      <c r="J929" s="1">
        <v>2145.1999999999998</v>
      </c>
      <c r="K929" s="8" t="str">
        <f t="shared" si="14"/>
        <v>Jul</v>
      </c>
    </row>
    <row r="930" spans="1:11">
      <c r="A930" s="1" t="s">
        <v>954</v>
      </c>
      <c r="B930" s="2">
        <v>45687</v>
      </c>
      <c r="C930" s="1" t="s">
        <v>36</v>
      </c>
      <c r="D930" s="1" t="s">
        <v>13</v>
      </c>
      <c r="E930" s="1" t="s">
        <v>18</v>
      </c>
      <c r="F930" s="1">
        <v>288</v>
      </c>
      <c r="G930" s="1">
        <v>15.76</v>
      </c>
      <c r="H930" s="1">
        <v>4538.88</v>
      </c>
      <c r="I930" s="1">
        <v>2962.2</v>
      </c>
      <c r="J930" s="1">
        <v>1576.68</v>
      </c>
      <c r="K930" s="8" t="str">
        <f t="shared" si="14"/>
        <v>Jan</v>
      </c>
    </row>
    <row r="931" spans="1:11">
      <c r="A931" s="1" t="s">
        <v>955</v>
      </c>
      <c r="B931" s="2">
        <v>45915</v>
      </c>
      <c r="C931" s="1" t="s">
        <v>28</v>
      </c>
      <c r="D931" s="1" t="s">
        <v>29</v>
      </c>
      <c r="E931" s="1" t="s">
        <v>18</v>
      </c>
      <c r="F931" s="1">
        <v>260</v>
      </c>
      <c r="G931" s="1">
        <v>17.59</v>
      </c>
      <c r="H931" s="1">
        <v>4573.3999999999996</v>
      </c>
      <c r="I931" s="1">
        <v>2834.77</v>
      </c>
      <c r="J931" s="1">
        <v>1738.63</v>
      </c>
      <c r="K931" s="8" t="str">
        <f t="shared" si="14"/>
        <v>Sep</v>
      </c>
    </row>
    <row r="932" spans="1:11">
      <c r="A932" s="1" t="s">
        <v>956</v>
      </c>
      <c r="B932" s="2">
        <v>45807</v>
      </c>
      <c r="C932" s="1" t="s">
        <v>28</v>
      </c>
      <c r="D932" s="1" t="s">
        <v>13</v>
      </c>
      <c r="E932" s="1" t="s">
        <v>20</v>
      </c>
      <c r="F932" s="1">
        <v>42</v>
      </c>
      <c r="G932" s="1">
        <v>38.020000000000003</v>
      </c>
      <c r="H932" s="1">
        <v>1596.84</v>
      </c>
      <c r="I932" s="1">
        <v>1218.24</v>
      </c>
      <c r="J932" s="1">
        <v>378.6</v>
      </c>
      <c r="K932" s="8" t="str">
        <f t="shared" si="14"/>
        <v>May</v>
      </c>
    </row>
    <row r="933" spans="1:11">
      <c r="A933" s="1" t="s">
        <v>957</v>
      </c>
      <c r="B933" s="2">
        <v>45692</v>
      </c>
      <c r="C933" s="1" t="s">
        <v>16</v>
      </c>
      <c r="D933" s="1" t="s">
        <v>29</v>
      </c>
      <c r="E933" s="1" t="s">
        <v>20</v>
      </c>
      <c r="F933" s="1">
        <v>257</v>
      </c>
      <c r="G933" s="1">
        <v>23.12</v>
      </c>
      <c r="H933" s="1">
        <v>5941.84</v>
      </c>
      <c r="I933" s="1">
        <v>4349.41</v>
      </c>
      <c r="J933" s="1">
        <v>1592.43</v>
      </c>
      <c r="K933" s="8" t="str">
        <f t="shared" si="14"/>
        <v>Feb</v>
      </c>
    </row>
    <row r="934" spans="1:11">
      <c r="A934" s="1" t="s">
        <v>958</v>
      </c>
      <c r="B934" s="2">
        <v>45954</v>
      </c>
      <c r="C934" s="1" t="s">
        <v>16</v>
      </c>
      <c r="D934" s="1" t="s">
        <v>13</v>
      </c>
      <c r="E934" s="1" t="s">
        <v>14</v>
      </c>
      <c r="F934" s="1">
        <v>33</v>
      </c>
      <c r="G934" s="1">
        <v>33.68</v>
      </c>
      <c r="H934" s="1">
        <v>1111.44</v>
      </c>
      <c r="I934" s="1">
        <v>842.56</v>
      </c>
      <c r="J934" s="1">
        <v>268.88</v>
      </c>
      <c r="K934" s="8" t="str">
        <f t="shared" si="14"/>
        <v>Oct</v>
      </c>
    </row>
    <row r="935" spans="1:11">
      <c r="A935" s="1" t="s">
        <v>959</v>
      </c>
      <c r="B935" s="2">
        <v>45780</v>
      </c>
      <c r="C935" s="1" t="s">
        <v>31</v>
      </c>
      <c r="D935" s="1" t="s">
        <v>17</v>
      </c>
      <c r="E935" s="1" t="s">
        <v>20</v>
      </c>
      <c r="F935" s="1">
        <v>37</v>
      </c>
      <c r="G935" s="1">
        <v>16.63</v>
      </c>
      <c r="H935" s="1">
        <v>615.30999999999995</v>
      </c>
      <c r="I935" s="1">
        <v>485.9</v>
      </c>
      <c r="J935" s="1">
        <v>129.41</v>
      </c>
      <c r="K935" s="8" t="str">
        <f t="shared" si="14"/>
        <v>May</v>
      </c>
    </row>
    <row r="936" spans="1:11">
      <c r="A936" s="1" t="s">
        <v>960</v>
      </c>
      <c r="B936" s="2">
        <v>46014</v>
      </c>
      <c r="C936" s="1" t="s">
        <v>22</v>
      </c>
      <c r="D936" s="1" t="s">
        <v>17</v>
      </c>
      <c r="E936" s="1" t="s">
        <v>18</v>
      </c>
      <c r="F936" s="1">
        <v>197</v>
      </c>
      <c r="G936" s="1">
        <v>22.2</v>
      </c>
      <c r="H936" s="1">
        <v>4373.3999999999996</v>
      </c>
      <c r="I936" s="1">
        <v>3347.83</v>
      </c>
      <c r="J936" s="1">
        <v>1025.57</v>
      </c>
      <c r="K936" s="8" t="str">
        <f t="shared" si="14"/>
        <v>Dec</v>
      </c>
    </row>
    <row r="937" spans="1:11">
      <c r="A937" s="1" t="s">
        <v>961</v>
      </c>
      <c r="B937" s="2">
        <v>45749</v>
      </c>
      <c r="C937" s="1" t="s">
        <v>28</v>
      </c>
      <c r="D937" s="1" t="s">
        <v>13</v>
      </c>
      <c r="E937" s="1" t="s">
        <v>33</v>
      </c>
      <c r="F937" s="1">
        <v>11</v>
      </c>
      <c r="G937" s="1">
        <v>13.96</v>
      </c>
      <c r="H937" s="1">
        <v>153.56</v>
      </c>
      <c r="I937" s="1">
        <v>108.84</v>
      </c>
      <c r="J937" s="1">
        <v>44.72</v>
      </c>
      <c r="K937" s="8" t="str">
        <f t="shared" si="14"/>
        <v>Apr</v>
      </c>
    </row>
    <row r="938" spans="1:11">
      <c r="A938" s="1" t="s">
        <v>962</v>
      </c>
      <c r="B938" s="2">
        <v>45737</v>
      </c>
      <c r="C938" s="1" t="s">
        <v>28</v>
      </c>
      <c r="D938" s="1" t="s">
        <v>13</v>
      </c>
      <c r="E938" s="1" t="s">
        <v>33</v>
      </c>
      <c r="F938" s="1">
        <v>143</v>
      </c>
      <c r="G938" s="1">
        <v>31.51</v>
      </c>
      <c r="H938" s="1">
        <v>4505.93</v>
      </c>
      <c r="I938" s="1">
        <v>2807.38</v>
      </c>
      <c r="J938" s="1">
        <v>1698.55</v>
      </c>
      <c r="K938" s="8" t="str">
        <f t="shared" si="14"/>
        <v>Mar</v>
      </c>
    </row>
    <row r="939" spans="1:11">
      <c r="A939" s="1" t="s">
        <v>963</v>
      </c>
      <c r="B939" s="2">
        <v>45771</v>
      </c>
      <c r="C939" s="1" t="s">
        <v>16</v>
      </c>
      <c r="D939" s="1" t="s">
        <v>17</v>
      </c>
      <c r="E939" s="1" t="s">
        <v>23</v>
      </c>
      <c r="F939" s="1">
        <v>11</v>
      </c>
      <c r="G939" s="1">
        <v>14.59</v>
      </c>
      <c r="H939" s="1">
        <v>160.49</v>
      </c>
      <c r="I939" s="1">
        <v>124.35</v>
      </c>
      <c r="J939" s="1">
        <v>36.14</v>
      </c>
      <c r="K939" s="8" t="str">
        <f t="shared" si="14"/>
        <v>Apr</v>
      </c>
    </row>
    <row r="940" spans="1:11">
      <c r="A940" s="1" t="s">
        <v>964</v>
      </c>
      <c r="B940" s="2">
        <v>45820</v>
      </c>
      <c r="C940" s="1" t="s">
        <v>36</v>
      </c>
      <c r="D940" s="1" t="s">
        <v>29</v>
      </c>
      <c r="E940" s="1" t="s">
        <v>23</v>
      </c>
      <c r="F940" s="1">
        <v>296</v>
      </c>
      <c r="G940" s="1">
        <v>35.950000000000003</v>
      </c>
      <c r="H940" s="1">
        <v>10641.2</v>
      </c>
      <c r="I940" s="1">
        <v>7636.61</v>
      </c>
      <c r="J940" s="1">
        <v>3004.59</v>
      </c>
      <c r="K940" s="8" t="str">
        <f t="shared" si="14"/>
        <v>Jun</v>
      </c>
    </row>
    <row r="941" spans="1:11">
      <c r="A941" s="1" t="s">
        <v>965</v>
      </c>
      <c r="B941" s="2">
        <v>45758</v>
      </c>
      <c r="C941" s="1" t="s">
        <v>31</v>
      </c>
      <c r="D941" s="1" t="s">
        <v>13</v>
      </c>
      <c r="E941" s="1" t="s">
        <v>14</v>
      </c>
      <c r="F941" s="1">
        <v>169</v>
      </c>
      <c r="G941" s="1">
        <v>25.56</v>
      </c>
      <c r="H941" s="1">
        <v>4319.6400000000003</v>
      </c>
      <c r="I941" s="1">
        <v>3009.03</v>
      </c>
      <c r="J941" s="1">
        <v>1310.6099999999999</v>
      </c>
      <c r="K941" s="8" t="str">
        <f t="shared" si="14"/>
        <v>Apr</v>
      </c>
    </row>
    <row r="942" spans="1:11">
      <c r="A942" s="1" t="s">
        <v>966</v>
      </c>
      <c r="B942" s="2">
        <v>45839</v>
      </c>
      <c r="C942" s="1" t="s">
        <v>12</v>
      </c>
      <c r="D942" s="1" t="s">
        <v>17</v>
      </c>
      <c r="E942" s="1" t="s">
        <v>33</v>
      </c>
      <c r="F942" s="1">
        <v>271</v>
      </c>
      <c r="G942" s="1">
        <v>26.77</v>
      </c>
      <c r="H942" s="1">
        <v>7254.67</v>
      </c>
      <c r="I942" s="1">
        <v>5788.93</v>
      </c>
      <c r="J942" s="1">
        <v>1465.74</v>
      </c>
      <c r="K942" s="8" t="str">
        <f t="shared" si="14"/>
        <v>Jul</v>
      </c>
    </row>
    <row r="943" spans="1:11">
      <c r="A943" s="1" t="s">
        <v>967</v>
      </c>
      <c r="B943" s="2">
        <v>45915</v>
      </c>
      <c r="C943" s="1" t="s">
        <v>36</v>
      </c>
      <c r="D943" s="1" t="s">
        <v>29</v>
      </c>
      <c r="E943" s="1" t="s">
        <v>20</v>
      </c>
      <c r="F943" s="1">
        <v>75</v>
      </c>
      <c r="G943" s="1">
        <v>25.12</v>
      </c>
      <c r="H943" s="1">
        <v>1884</v>
      </c>
      <c r="I943" s="1">
        <v>1288.2</v>
      </c>
      <c r="J943" s="1">
        <v>595.79999999999995</v>
      </c>
      <c r="K943" s="8" t="str">
        <f t="shared" si="14"/>
        <v>Sep</v>
      </c>
    </row>
    <row r="944" spans="1:11">
      <c r="A944" s="1" t="s">
        <v>968</v>
      </c>
      <c r="B944" s="2">
        <v>45680</v>
      </c>
      <c r="C944" s="1" t="s">
        <v>36</v>
      </c>
      <c r="D944" s="1" t="s">
        <v>29</v>
      </c>
      <c r="E944" s="1" t="s">
        <v>18</v>
      </c>
      <c r="F944" s="1">
        <v>282</v>
      </c>
      <c r="G944" s="1">
        <v>18.79</v>
      </c>
      <c r="H944" s="1">
        <v>5298.78</v>
      </c>
      <c r="I944" s="1">
        <v>3305.27</v>
      </c>
      <c r="J944" s="1">
        <v>1993.51</v>
      </c>
      <c r="K944" s="8" t="str">
        <f t="shared" si="14"/>
        <v>Jan</v>
      </c>
    </row>
    <row r="945" spans="1:11">
      <c r="A945" s="1" t="s">
        <v>969</v>
      </c>
      <c r="B945" s="2">
        <v>45849</v>
      </c>
      <c r="C945" s="1" t="s">
        <v>12</v>
      </c>
      <c r="D945" s="1" t="s">
        <v>29</v>
      </c>
      <c r="E945" s="1" t="s">
        <v>18</v>
      </c>
      <c r="F945" s="1">
        <v>274</v>
      </c>
      <c r="G945" s="1">
        <v>24.29</v>
      </c>
      <c r="H945" s="1">
        <v>6655.46</v>
      </c>
      <c r="I945" s="1">
        <v>4930.8599999999997</v>
      </c>
      <c r="J945" s="1">
        <v>1724.6</v>
      </c>
      <c r="K945" s="8" t="str">
        <f t="shared" si="14"/>
        <v>Jul</v>
      </c>
    </row>
    <row r="946" spans="1:11">
      <c r="A946" s="1" t="s">
        <v>970</v>
      </c>
      <c r="B946" s="2">
        <v>45936</v>
      </c>
      <c r="C946" s="1" t="s">
        <v>16</v>
      </c>
      <c r="D946" s="1" t="s">
        <v>17</v>
      </c>
      <c r="E946" s="1" t="s">
        <v>18</v>
      </c>
      <c r="F946" s="1">
        <v>158</v>
      </c>
      <c r="G946" s="1">
        <v>18.79</v>
      </c>
      <c r="H946" s="1">
        <v>2968.82</v>
      </c>
      <c r="I946" s="1">
        <v>2274.13</v>
      </c>
      <c r="J946" s="1">
        <v>694.69</v>
      </c>
      <c r="K946" s="8" t="str">
        <f t="shared" si="14"/>
        <v>Oct</v>
      </c>
    </row>
    <row r="947" spans="1:11">
      <c r="A947" s="1" t="s">
        <v>971</v>
      </c>
      <c r="B947" s="2">
        <v>45822</v>
      </c>
      <c r="C947" s="1" t="s">
        <v>36</v>
      </c>
      <c r="D947" s="1" t="s">
        <v>17</v>
      </c>
      <c r="E947" s="1" t="s">
        <v>18</v>
      </c>
      <c r="F947" s="1">
        <v>119</v>
      </c>
      <c r="G947" s="1">
        <v>31.88</v>
      </c>
      <c r="H947" s="1">
        <v>3793.72</v>
      </c>
      <c r="I947" s="1">
        <v>2930.38</v>
      </c>
      <c r="J947" s="1">
        <v>863.34</v>
      </c>
      <c r="K947" s="8" t="str">
        <f t="shared" si="14"/>
        <v>Jun</v>
      </c>
    </row>
    <row r="948" spans="1:11">
      <c r="A948" s="1" t="s">
        <v>972</v>
      </c>
      <c r="B948" s="2">
        <v>45842</v>
      </c>
      <c r="C948" s="1" t="s">
        <v>22</v>
      </c>
      <c r="D948" s="1" t="s">
        <v>13</v>
      </c>
      <c r="E948" s="1" t="s">
        <v>18</v>
      </c>
      <c r="F948" s="1">
        <v>54</v>
      </c>
      <c r="G948" s="1">
        <v>32.64</v>
      </c>
      <c r="H948" s="1">
        <v>1762.56</v>
      </c>
      <c r="I948" s="1">
        <v>1316.06</v>
      </c>
      <c r="J948" s="1">
        <v>446.5</v>
      </c>
      <c r="K948" s="8" t="str">
        <f t="shared" si="14"/>
        <v>Jul</v>
      </c>
    </row>
    <row r="949" spans="1:11">
      <c r="A949" s="1" t="s">
        <v>973</v>
      </c>
      <c r="B949" s="2">
        <v>45993</v>
      </c>
      <c r="C949" s="1" t="s">
        <v>31</v>
      </c>
      <c r="D949" s="1" t="s">
        <v>29</v>
      </c>
      <c r="E949" s="1" t="s">
        <v>26</v>
      </c>
      <c r="F949" s="1">
        <v>140</v>
      </c>
      <c r="G949" s="1">
        <v>29.06</v>
      </c>
      <c r="H949" s="1">
        <v>4068.4</v>
      </c>
      <c r="I949" s="1">
        <v>3005.33</v>
      </c>
      <c r="J949" s="1">
        <v>1063.07</v>
      </c>
      <c r="K949" s="8" t="str">
        <f t="shared" si="14"/>
        <v>Dec</v>
      </c>
    </row>
    <row r="950" spans="1:11">
      <c r="A950" s="1" t="s">
        <v>974</v>
      </c>
      <c r="B950" s="2">
        <v>45832</v>
      </c>
      <c r="C950" s="1" t="s">
        <v>12</v>
      </c>
      <c r="D950" s="1" t="s">
        <v>29</v>
      </c>
      <c r="E950" s="1" t="s">
        <v>33</v>
      </c>
      <c r="F950" s="1">
        <v>194</v>
      </c>
      <c r="G950" s="1">
        <v>22.29</v>
      </c>
      <c r="H950" s="1">
        <v>4324.26</v>
      </c>
      <c r="I950" s="1">
        <v>2972.9</v>
      </c>
      <c r="J950" s="1">
        <v>1351.36</v>
      </c>
      <c r="K950" s="8" t="str">
        <f t="shared" si="14"/>
        <v>Jun</v>
      </c>
    </row>
    <row r="951" spans="1:11">
      <c r="A951" s="1" t="s">
        <v>975</v>
      </c>
      <c r="B951" s="2">
        <v>45814</v>
      </c>
      <c r="C951" s="1" t="s">
        <v>36</v>
      </c>
      <c r="D951" s="1" t="s">
        <v>29</v>
      </c>
      <c r="E951" s="1" t="s">
        <v>33</v>
      </c>
      <c r="F951" s="1">
        <v>127</v>
      </c>
      <c r="G951" s="1">
        <v>20.21</v>
      </c>
      <c r="H951" s="1">
        <v>2566.67</v>
      </c>
      <c r="I951" s="1">
        <v>1782.41</v>
      </c>
      <c r="J951" s="1">
        <v>784.26</v>
      </c>
      <c r="K951" s="8" t="str">
        <f t="shared" si="14"/>
        <v>Jun</v>
      </c>
    </row>
    <row r="952" spans="1:11">
      <c r="A952" s="1" t="s">
        <v>976</v>
      </c>
      <c r="B952" s="2">
        <v>45753</v>
      </c>
      <c r="C952" s="1" t="s">
        <v>28</v>
      </c>
      <c r="D952" s="1" t="s">
        <v>13</v>
      </c>
      <c r="E952" s="1" t="s">
        <v>33</v>
      </c>
      <c r="F952" s="1">
        <v>259</v>
      </c>
      <c r="G952" s="1">
        <v>13.06</v>
      </c>
      <c r="H952" s="1">
        <v>3382.54</v>
      </c>
      <c r="I952" s="1">
        <v>2162.8200000000002</v>
      </c>
      <c r="J952" s="1">
        <v>1219.72</v>
      </c>
      <c r="K952" s="8" t="str">
        <f t="shared" si="14"/>
        <v>Apr</v>
      </c>
    </row>
    <row r="953" spans="1:11">
      <c r="A953" s="1" t="s">
        <v>977</v>
      </c>
      <c r="B953" s="2">
        <v>45725</v>
      </c>
      <c r="C953" s="1" t="s">
        <v>28</v>
      </c>
      <c r="D953" s="1" t="s">
        <v>17</v>
      </c>
      <c r="E953" s="1" t="s">
        <v>18</v>
      </c>
      <c r="F953" s="1">
        <v>183</v>
      </c>
      <c r="G953" s="1">
        <v>35.47</v>
      </c>
      <c r="H953" s="1">
        <v>6491.01</v>
      </c>
      <c r="I953" s="1">
        <v>5021</v>
      </c>
      <c r="J953" s="1">
        <v>1470.01</v>
      </c>
      <c r="K953" s="8" t="str">
        <f t="shared" si="14"/>
        <v>Mar</v>
      </c>
    </row>
    <row r="954" spans="1:11">
      <c r="A954" s="1" t="s">
        <v>978</v>
      </c>
      <c r="B954" s="2">
        <v>45737</v>
      </c>
      <c r="C954" s="1" t="s">
        <v>36</v>
      </c>
      <c r="D954" s="1" t="s">
        <v>13</v>
      </c>
      <c r="E954" s="1" t="s">
        <v>14</v>
      </c>
      <c r="F954" s="1">
        <v>170</v>
      </c>
      <c r="G954" s="1">
        <v>14.62</v>
      </c>
      <c r="H954" s="1">
        <v>2485.4</v>
      </c>
      <c r="I954" s="1">
        <v>1810.06</v>
      </c>
      <c r="J954" s="1">
        <v>675.34</v>
      </c>
      <c r="K954" s="8" t="str">
        <f t="shared" si="14"/>
        <v>Mar</v>
      </c>
    </row>
    <row r="955" spans="1:11">
      <c r="A955" s="1" t="s">
        <v>979</v>
      </c>
      <c r="B955" s="2">
        <v>45801</v>
      </c>
      <c r="C955" s="1" t="s">
        <v>31</v>
      </c>
      <c r="D955" s="1" t="s">
        <v>13</v>
      </c>
      <c r="E955" s="1" t="s">
        <v>20</v>
      </c>
      <c r="F955" s="1">
        <v>41</v>
      </c>
      <c r="G955" s="1">
        <v>37.659999999999997</v>
      </c>
      <c r="H955" s="1">
        <v>1544.06</v>
      </c>
      <c r="I955" s="1">
        <v>1189.77</v>
      </c>
      <c r="J955" s="1">
        <v>354.29</v>
      </c>
      <c r="K955" s="8" t="str">
        <f t="shared" si="14"/>
        <v>May</v>
      </c>
    </row>
    <row r="956" spans="1:11">
      <c r="A956" s="1" t="s">
        <v>980</v>
      </c>
      <c r="B956" s="2">
        <v>45685</v>
      </c>
      <c r="C956" s="1" t="s">
        <v>31</v>
      </c>
      <c r="D956" s="1" t="s">
        <v>29</v>
      </c>
      <c r="E956" s="1" t="s">
        <v>26</v>
      </c>
      <c r="F956" s="1">
        <v>228</v>
      </c>
      <c r="G956" s="1">
        <v>22.72</v>
      </c>
      <c r="H956" s="1">
        <v>5180.16</v>
      </c>
      <c r="I956" s="1">
        <v>3265.92</v>
      </c>
      <c r="J956" s="1">
        <v>1914.24</v>
      </c>
      <c r="K956" s="8" t="str">
        <f t="shared" si="14"/>
        <v>Jan</v>
      </c>
    </row>
    <row r="957" spans="1:11">
      <c r="A957" s="1" t="s">
        <v>981</v>
      </c>
      <c r="B957" s="2">
        <v>45715</v>
      </c>
      <c r="C957" s="1" t="s">
        <v>12</v>
      </c>
      <c r="D957" s="1" t="s">
        <v>17</v>
      </c>
      <c r="E957" s="1" t="s">
        <v>26</v>
      </c>
      <c r="F957" s="1">
        <v>149</v>
      </c>
      <c r="G957" s="1">
        <v>23.19</v>
      </c>
      <c r="H957" s="1">
        <v>3455.31</v>
      </c>
      <c r="I957" s="1">
        <v>2347.87</v>
      </c>
      <c r="J957" s="1">
        <v>1107.44</v>
      </c>
      <c r="K957" s="8" t="str">
        <f t="shared" si="14"/>
        <v>Feb</v>
      </c>
    </row>
    <row r="958" spans="1:11">
      <c r="A958" s="1" t="s">
        <v>982</v>
      </c>
      <c r="B958" s="2">
        <v>45858</v>
      </c>
      <c r="C958" s="1" t="s">
        <v>36</v>
      </c>
      <c r="D958" s="1" t="s">
        <v>17</v>
      </c>
      <c r="E958" s="1" t="s">
        <v>26</v>
      </c>
      <c r="F958" s="1">
        <v>209</v>
      </c>
      <c r="G958" s="1">
        <v>15.58</v>
      </c>
      <c r="H958" s="1">
        <v>3256.22</v>
      </c>
      <c r="I958" s="1">
        <v>2463.06</v>
      </c>
      <c r="J958" s="1">
        <v>793.16</v>
      </c>
      <c r="K958" s="8" t="str">
        <f t="shared" si="14"/>
        <v>Jul</v>
      </c>
    </row>
    <row r="959" spans="1:11">
      <c r="A959" s="1" t="s">
        <v>983</v>
      </c>
      <c r="B959" s="2">
        <v>45822</v>
      </c>
      <c r="C959" s="1" t="s">
        <v>36</v>
      </c>
      <c r="D959" s="1" t="s">
        <v>13</v>
      </c>
      <c r="E959" s="1" t="s">
        <v>20</v>
      </c>
      <c r="F959" s="1">
        <v>180</v>
      </c>
      <c r="G959" s="1">
        <v>13.8</v>
      </c>
      <c r="H959" s="1">
        <v>2484</v>
      </c>
      <c r="I959" s="1">
        <v>1507.82</v>
      </c>
      <c r="J959" s="1">
        <v>976.18</v>
      </c>
      <c r="K959" s="8" t="str">
        <f t="shared" si="14"/>
        <v>Jun</v>
      </c>
    </row>
    <row r="960" spans="1:11">
      <c r="A960" s="1" t="s">
        <v>984</v>
      </c>
      <c r="B960" s="2">
        <v>45668</v>
      </c>
      <c r="C960" s="1" t="s">
        <v>22</v>
      </c>
      <c r="D960" s="1" t="s">
        <v>13</v>
      </c>
      <c r="E960" s="1" t="s">
        <v>18</v>
      </c>
      <c r="F960" s="1">
        <v>128</v>
      </c>
      <c r="G960" s="1">
        <v>18.809999999999999</v>
      </c>
      <c r="H960" s="1">
        <v>2407.6799999999998</v>
      </c>
      <c r="I960" s="1">
        <v>1541.01</v>
      </c>
      <c r="J960" s="1">
        <v>866.67</v>
      </c>
      <c r="K960" s="8" t="str">
        <f t="shared" si="14"/>
        <v>Jan</v>
      </c>
    </row>
    <row r="961" spans="1:11">
      <c r="A961" s="1" t="s">
        <v>985</v>
      </c>
      <c r="B961" s="2">
        <v>45958</v>
      </c>
      <c r="C961" s="1" t="s">
        <v>12</v>
      </c>
      <c r="D961" s="1" t="s">
        <v>29</v>
      </c>
      <c r="E961" s="1" t="s">
        <v>23</v>
      </c>
      <c r="F961" s="1">
        <v>174</v>
      </c>
      <c r="G961" s="1">
        <v>13.64</v>
      </c>
      <c r="H961" s="1">
        <v>2373.36</v>
      </c>
      <c r="I961" s="1">
        <v>1695.35</v>
      </c>
      <c r="J961" s="1">
        <v>678.01</v>
      </c>
      <c r="K961" s="8" t="str">
        <f t="shared" si="14"/>
        <v>Oct</v>
      </c>
    </row>
    <row r="962" spans="1:11">
      <c r="A962" s="1" t="s">
        <v>986</v>
      </c>
      <c r="B962" s="2">
        <v>45704</v>
      </c>
      <c r="C962" s="1" t="s">
        <v>28</v>
      </c>
      <c r="D962" s="1" t="s">
        <v>17</v>
      </c>
      <c r="E962" s="1" t="s">
        <v>18</v>
      </c>
      <c r="F962" s="1">
        <v>271</v>
      </c>
      <c r="G962" s="1">
        <v>23.81</v>
      </c>
      <c r="H962" s="1">
        <v>6452.51</v>
      </c>
      <c r="I962" s="1">
        <v>4177.83</v>
      </c>
      <c r="J962" s="1">
        <v>2274.6799999999998</v>
      </c>
      <c r="K962" s="8" t="str">
        <f t="shared" ref="K962:K1025" si="15">TEXT(B962,"mmm")</f>
        <v>Feb</v>
      </c>
    </row>
    <row r="963" spans="1:11">
      <c r="A963" s="1" t="s">
        <v>987</v>
      </c>
      <c r="B963" s="2">
        <v>45843</v>
      </c>
      <c r="C963" s="1" t="s">
        <v>28</v>
      </c>
      <c r="D963" s="1" t="s">
        <v>13</v>
      </c>
      <c r="E963" s="1" t="s">
        <v>33</v>
      </c>
      <c r="F963" s="1">
        <v>17</v>
      </c>
      <c r="G963" s="1">
        <v>37.07</v>
      </c>
      <c r="H963" s="1">
        <v>630.19000000000005</v>
      </c>
      <c r="I963" s="1">
        <v>392.73</v>
      </c>
      <c r="J963" s="1">
        <v>237.46</v>
      </c>
      <c r="K963" s="8" t="str">
        <f t="shared" si="15"/>
        <v>Jul</v>
      </c>
    </row>
    <row r="964" spans="1:11">
      <c r="A964" s="1" t="s">
        <v>988</v>
      </c>
      <c r="B964" s="2">
        <v>45874</v>
      </c>
      <c r="C964" s="1" t="s">
        <v>36</v>
      </c>
      <c r="D964" s="1" t="s">
        <v>13</v>
      </c>
      <c r="E964" s="1" t="s">
        <v>23</v>
      </c>
      <c r="F964" s="1">
        <v>134</v>
      </c>
      <c r="G964" s="1">
        <v>20.010000000000002</v>
      </c>
      <c r="H964" s="1">
        <v>2681.34</v>
      </c>
      <c r="I964" s="1">
        <v>1737.81</v>
      </c>
      <c r="J964" s="1">
        <v>943.53</v>
      </c>
      <c r="K964" s="8" t="str">
        <f t="shared" si="15"/>
        <v>Aug</v>
      </c>
    </row>
    <row r="965" spans="1:11">
      <c r="A965" s="1" t="s">
        <v>989</v>
      </c>
      <c r="B965" s="2">
        <v>45939</v>
      </c>
      <c r="C965" s="1" t="s">
        <v>28</v>
      </c>
      <c r="D965" s="1" t="s">
        <v>17</v>
      </c>
      <c r="E965" s="1" t="s">
        <v>26</v>
      </c>
      <c r="F965" s="1">
        <v>165</v>
      </c>
      <c r="G965" s="1">
        <v>18.079999999999998</v>
      </c>
      <c r="H965" s="1">
        <v>2983.2</v>
      </c>
      <c r="I965" s="1">
        <v>2253.0100000000002</v>
      </c>
      <c r="J965" s="1">
        <v>730.19</v>
      </c>
      <c r="K965" s="8" t="str">
        <f t="shared" si="15"/>
        <v>Oct</v>
      </c>
    </row>
    <row r="966" spans="1:11">
      <c r="A966" s="1" t="s">
        <v>990</v>
      </c>
      <c r="B966" s="2">
        <v>45685</v>
      </c>
      <c r="C966" s="1" t="s">
        <v>22</v>
      </c>
      <c r="D966" s="1" t="s">
        <v>29</v>
      </c>
      <c r="E966" s="1" t="s">
        <v>18</v>
      </c>
      <c r="F966" s="1">
        <v>204</v>
      </c>
      <c r="G966" s="1">
        <v>23.86</v>
      </c>
      <c r="H966" s="1">
        <v>4867.4399999999996</v>
      </c>
      <c r="I966" s="1">
        <v>3503.61</v>
      </c>
      <c r="J966" s="1">
        <v>1363.83</v>
      </c>
      <c r="K966" s="8" t="str">
        <f t="shared" si="15"/>
        <v>Jan</v>
      </c>
    </row>
    <row r="967" spans="1:11">
      <c r="A967" s="1" t="s">
        <v>991</v>
      </c>
      <c r="B967" s="2">
        <v>45938</v>
      </c>
      <c r="C967" s="1" t="s">
        <v>31</v>
      </c>
      <c r="D967" s="1" t="s">
        <v>29</v>
      </c>
      <c r="E967" s="1" t="s">
        <v>18</v>
      </c>
      <c r="F967" s="1">
        <v>208</v>
      </c>
      <c r="G967" s="1">
        <v>14.79</v>
      </c>
      <c r="H967" s="1">
        <v>3076.32</v>
      </c>
      <c r="I967" s="1">
        <v>2434.09</v>
      </c>
      <c r="J967" s="1">
        <v>642.23</v>
      </c>
      <c r="K967" s="8" t="str">
        <f t="shared" si="15"/>
        <v>Oct</v>
      </c>
    </row>
    <row r="968" spans="1:11">
      <c r="A968" s="1" t="s">
        <v>992</v>
      </c>
      <c r="B968" s="2">
        <v>45704</v>
      </c>
      <c r="C968" s="1" t="s">
        <v>16</v>
      </c>
      <c r="D968" s="1" t="s">
        <v>13</v>
      </c>
      <c r="E968" s="1" t="s">
        <v>26</v>
      </c>
      <c r="F968" s="1">
        <v>169</v>
      </c>
      <c r="G968" s="1">
        <v>23.86</v>
      </c>
      <c r="H968" s="1">
        <v>4032.34</v>
      </c>
      <c r="I968" s="1">
        <v>2590.7800000000002</v>
      </c>
      <c r="J968" s="1">
        <v>1441.56</v>
      </c>
      <c r="K968" s="8" t="str">
        <f t="shared" si="15"/>
        <v>Feb</v>
      </c>
    </row>
    <row r="969" spans="1:11">
      <c r="A969" s="1" t="s">
        <v>993</v>
      </c>
      <c r="B969" s="2">
        <v>45704</v>
      </c>
      <c r="C969" s="1" t="s">
        <v>12</v>
      </c>
      <c r="D969" s="1" t="s">
        <v>17</v>
      </c>
      <c r="E969" s="1" t="s">
        <v>14</v>
      </c>
      <c r="F969" s="1">
        <v>104</v>
      </c>
      <c r="G969" s="1">
        <v>21.07</v>
      </c>
      <c r="H969" s="1">
        <v>2191.2800000000002</v>
      </c>
      <c r="I969" s="1">
        <v>1504.35</v>
      </c>
      <c r="J969" s="1">
        <v>686.93</v>
      </c>
      <c r="K969" s="8" t="str">
        <f t="shared" si="15"/>
        <v>Feb</v>
      </c>
    </row>
    <row r="970" spans="1:11">
      <c r="A970" s="1" t="s">
        <v>994</v>
      </c>
      <c r="B970" s="2">
        <v>46017</v>
      </c>
      <c r="C970" s="1" t="s">
        <v>22</v>
      </c>
      <c r="D970" s="1" t="s">
        <v>13</v>
      </c>
      <c r="E970" s="1" t="s">
        <v>23</v>
      </c>
      <c r="F970" s="1">
        <v>188</v>
      </c>
      <c r="G970" s="1">
        <v>25.48</v>
      </c>
      <c r="H970" s="1">
        <v>4790.24</v>
      </c>
      <c r="I970" s="1">
        <v>3814.78</v>
      </c>
      <c r="J970" s="1">
        <v>975.46</v>
      </c>
      <c r="K970" s="8" t="str">
        <f t="shared" si="15"/>
        <v>Dec</v>
      </c>
    </row>
    <row r="971" spans="1:11">
      <c r="A971" s="1" t="s">
        <v>995</v>
      </c>
      <c r="B971" s="2">
        <v>45928</v>
      </c>
      <c r="C971" s="1" t="s">
        <v>12</v>
      </c>
      <c r="D971" s="1" t="s">
        <v>13</v>
      </c>
      <c r="E971" s="1" t="s">
        <v>20</v>
      </c>
      <c r="F971" s="1">
        <v>262</v>
      </c>
      <c r="G971" s="1">
        <v>13.42</v>
      </c>
      <c r="H971" s="1">
        <v>3516.04</v>
      </c>
      <c r="I971" s="1">
        <v>2313.73</v>
      </c>
      <c r="J971" s="1">
        <v>1202.31</v>
      </c>
      <c r="K971" s="8" t="str">
        <f t="shared" si="15"/>
        <v>Sep</v>
      </c>
    </row>
    <row r="972" spans="1:11">
      <c r="A972" s="1" t="s">
        <v>996</v>
      </c>
      <c r="B972" s="2">
        <v>45856</v>
      </c>
      <c r="C972" s="1" t="s">
        <v>12</v>
      </c>
      <c r="D972" s="1" t="s">
        <v>29</v>
      </c>
      <c r="E972" s="1" t="s">
        <v>14</v>
      </c>
      <c r="F972" s="1">
        <v>193</v>
      </c>
      <c r="G972" s="1">
        <v>35.44</v>
      </c>
      <c r="H972" s="1">
        <v>6839.92</v>
      </c>
      <c r="I972" s="1">
        <v>4927.43</v>
      </c>
      <c r="J972" s="1">
        <v>1912.49</v>
      </c>
      <c r="K972" s="8" t="str">
        <f t="shared" si="15"/>
        <v>Jul</v>
      </c>
    </row>
    <row r="973" spans="1:11">
      <c r="A973" s="1" t="s">
        <v>997</v>
      </c>
      <c r="B973" s="2">
        <v>45803</v>
      </c>
      <c r="C973" s="1" t="s">
        <v>16</v>
      </c>
      <c r="D973" s="1" t="s">
        <v>17</v>
      </c>
      <c r="E973" s="1" t="s">
        <v>33</v>
      </c>
      <c r="F973" s="1">
        <v>53</v>
      </c>
      <c r="G973" s="1">
        <v>28.54</v>
      </c>
      <c r="H973" s="1">
        <v>1512.62</v>
      </c>
      <c r="I973" s="1">
        <v>1124.3599999999999</v>
      </c>
      <c r="J973" s="1">
        <v>388.26</v>
      </c>
      <c r="K973" s="8" t="str">
        <f t="shared" si="15"/>
        <v>May</v>
      </c>
    </row>
    <row r="974" spans="1:11">
      <c r="A974" s="1" t="s">
        <v>998</v>
      </c>
      <c r="B974" s="2">
        <v>45930</v>
      </c>
      <c r="C974" s="1" t="s">
        <v>16</v>
      </c>
      <c r="D974" s="1" t="s">
        <v>17</v>
      </c>
      <c r="E974" s="1" t="s">
        <v>20</v>
      </c>
      <c r="F974" s="1">
        <v>177</v>
      </c>
      <c r="G974" s="1">
        <v>14.13</v>
      </c>
      <c r="H974" s="1">
        <v>2501.0100000000002</v>
      </c>
      <c r="I974" s="1">
        <v>1837.74</v>
      </c>
      <c r="J974" s="1">
        <v>663.27</v>
      </c>
      <c r="K974" s="8" t="str">
        <f t="shared" si="15"/>
        <v>Sep</v>
      </c>
    </row>
    <row r="975" spans="1:11">
      <c r="A975" s="1" t="s">
        <v>999</v>
      </c>
      <c r="B975" s="2">
        <v>45871</v>
      </c>
      <c r="C975" s="1" t="s">
        <v>28</v>
      </c>
      <c r="D975" s="1" t="s">
        <v>13</v>
      </c>
      <c r="E975" s="1" t="s">
        <v>20</v>
      </c>
      <c r="F975" s="1">
        <v>21</v>
      </c>
      <c r="G975" s="1">
        <v>38.71</v>
      </c>
      <c r="H975" s="1">
        <v>812.91</v>
      </c>
      <c r="I975" s="1">
        <v>546.41</v>
      </c>
      <c r="J975" s="1">
        <v>266.5</v>
      </c>
      <c r="K975" s="8" t="str">
        <f t="shared" si="15"/>
        <v>Aug</v>
      </c>
    </row>
    <row r="976" spans="1:11">
      <c r="A976" s="1" t="s">
        <v>1000</v>
      </c>
      <c r="B976" s="2">
        <v>45997</v>
      </c>
      <c r="C976" s="1" t="s">
        <v>28</v>
      </c>
      <c r="D976" s="1" t="s">
        <v>17</v>
      </c>
      <c r="E976" s="1" t="s">
        <v>20</v>
      </c>
      <c r="F976" s="1">
        <v>111</v>
      </c>
      <c r="G976" s="1">
        <v>29.94</v>
      </c>
      <c r="H976" s="1">
        <v>3323.34</v>
      </c>
      <c r="I976" s="1">
        <v>2290.67</v>
      </c>
      <c r="J976" s="1">
        <v>1032.67</v>
      </c>
      <c r="K976" s="8" t="str">
        <f t="shared" si="15"/>
        <v>Dec</v>
      </c>
    </row>
    <row r="977" spans="1:11">
      <c r="A977" s="1" t="s">
        <v>1001</v>
      </c>
      <c r="B977" s="2">
        <v>45746</v>
      </c>
      <c r="C977" s="1" t="s">
        <v>36</v>
      </c>
      <c r="D977" s="1" t="s">
        <v>13</v>
      </c>
      <c r="E977" s="1" t="s">
        <v>26</v>
      </c>
      <c r="F977" s="1">
        <v>244</v>
      </c>
      <c r="G977" s="1">
        <v>14.94</v>
      </c>
      <c r="H977" s="1">
        <v>3645.36</v>
      </c>
      <c r="I977" s="1">
        <v>2855.67</v>
      </c>
      <c r="J977" s="1">
        <v>789.69</v>
      </c>
      <c r="K977" s="8" t="str">
        <f t="shared" si="15"/>
        <v>Mar</v>
      </c>
    </row>
    <row r="978" spans="1:11">
      <c r="A978" s="1" t="s">
        <v>1002</v>
      </c>
      <c r="B978" s="2">
        <v>45850</v>
      </c>
      <c r="C978" s="1" t="s">
        <v>28</v>
      </c>
      <c r="D978" s="1" t="s">
        <v>29</v>
      </c>
      <c r="E978" s="1" t="s">
        <v>26</v>
      </c>
      <c r="F978" s="1">
        <v>122</v>
      </c>
      <c r="G978" s="1">
        <v>36.619999999999997</v>
      </c>
      <c r="H978" s="1">
        <v>4467.6400000000003</v>
      </c>
      <c r="I978" s="1">
        <v>2967.17</v>
      </c>
      <c r="J978" s="1">
        <v>1500.47</v>
      </c>
      <c r="K978" s="8" t="str">
        <f t="shared" si="15"/>
        <v>Jul</v>
      </c>
    </row>
    <row r="979" spans="1:11">
      <c r="A979" s="1" t="s">
        <v>1003</v>
      </c>
      <c r="B979" s="2">
        <v>45912</v>
      </c>
      <c r="C979" s="1" t="s">
        <v>22</v>
      </c>
      <c r="D979" s="1" t="s">
        <v>13</v>
      </c>
      <c r="E979" s="1" t="s">
        <v>33</v>
      </c>
      <c r="F979" s="1">
        <v>289</v>
      </c>
      <c r="G979" s="1">
        <v>24.17</v>
      </c>
      <c r="H979" s="1">
        <v>6985.13</v>
      </c>
      <c r="I979" s="1">
        <v>4467.03</v>
      </c>
      <c r="J979" s="1">
        <v>2518.1</v>
      </c>
      <c r="K979" s="8" t="str">
        <f t="shared" si="15"/>
        <v>Sep</v>
      </c>
    </row>
    <row r="980" spans="1:11">
      <c r="A980" s="1" t="s">
        <v>1004</v>
      </c>
      <c r="B980" s="2">
        <v>45747</v>
      </c>
      <c r="C980" s="1" t="s">
        <v>22</v>
      </c>
      <c r="D980" s="1" t="s">
        <v>29</v>
      </c>
      <c r="E980" s="1" t="s">
        <v>23</v>
      </c>
      <c r="F980" s="1">
        <v>105</v>
      </c>
      <c r="G980" s="1">
        <v>17.760000000000002</v>
      </c>
      <c r="H980" s="1">
        <v>1864.8</v>
      </c>
      <c r="I980" s="1">
        <v>1359.28</v>
      </c>
      <c r="J980" s="1">
        <v>505.52</v>
      </c>
      <c r="K980" s="8" t="str">
        <f t="shared" si="15"/>
        <v>Mar</v>
      </c>
    </row>
    <row r="981" spans="1:11">
      <c r="A981" s="1" t="s">
        <v>1005</v>
      </c>
      <c r="B981" s="2">
        <v>45745</v>
      </c>
      <c r="C981" s="1" t="s">
        <v>12</v>
      </c>
      <c r="D981" s="1" t="s">
        <v>13</v>
      </c>
      <c r="E981" s="1" t="s">
        <v>33</v>
      </c>
      <c r="F981" s="1">
        <v>270</v>
      </c>
      <c r="G981" s="1">
        <v>36.090000000000003</v>
      </c>
      <c r="H981" s="1">
        <v>9744.2999999999993</v>
      </c>
      <c r="I981" s="1">
        <v>6412.55</v>
      </c>
      <c r="J981" s="1">
        <v>3331.75</v>
      </c>
      <c r="K981" s="8" t="str">
        <f t="shared" si="15"/>
        <v>Mar</v>
      </c>
    </row>
    <row r="982" spans="1:11">
      <c r="A982" s="1" t="s">
        <v>1006</v>
      </c>
      <c r="B982" s="2">
        <v>45905</v>
      </c>
      <c r="C982" s="1" t="s">
        <v>36</v>
      </c>
      <c r="D982" s="1" t="s">
        <v>13</v>
      </c>
      <c r="E982" s="1" t="s">
        <v>23</v>
      </c>
      <c r="F982" s="1">
        <v>66</v>
      </c>
      <c r="G982" s="1">
        <v>14.04</v>
      </c>
      <c r="H982" s="1">
        <v>926.64</v>
      </c>
      <c r="I982" s="1">
        <v>613.19000000000005</v>
      </c>
      <c r="J982" s="1">
        <v>313.45</v>
      </c>
      <c r="K982" s="8" t="str">
        <f t="shared" si="15"/>
        <v>Sep</v>
      </c>
    </row>
    <row r="983" spans="1:11">
      <c r="A983" s="1" t="s">
        <v>1007</v>
      </c>
      <c r="B983" s="2">
        <v>45973</v>
      </c>
      <c r="C983" s="1" t="s">
        <v>31</v>
      </c>
      <c r="D983" s="1" t="s">
        <v>29</v>
      </c>
      <c r="E983" s="1" t="s">
        <v>20</v>
      </c>
      <c r="F983" s="1">
        <v>123</v>
      </c>
      <c r="G983" s="1">
        <v>30.16</v>
      </c>
      <c r="H983" s="1">
        <v>3709.68</v>
      </c>
      <c r="I983" s="1">
        <v>2777.05</v>
      </c>
      <c r="J983" s="1">
        <v>932.63</v>
      </c>
      <c r="K983" s="8" t="str">
        <f t="shared" si="15"/>
        <v>Nov</v>
      </c>
    </row>
    <row r="984" spans="1:11">
      <c r="A984" s="1" t="s">
        <v>1008</v>
      </c>
      <c r="B984" s="2">
        <v>45844</v>
      </c>
      <c r="C984" s="1" t="s">
        <v>16</v>
      </c>
      <c r="D984" s="1" t="s">
        <v>29</v>
      </c>
      <c r="E984" s="1" t="s">
        <v>26</v>
      </c>
      <c r="F984" s="1">
        <v>262</v>
      </c>
      <c r="G984" s="1">
        <v>23.45</v>
      </c>
      <c r="H984" s="1">
        <v>6143.9</v>
      </c>
      <c r="I984" s="1">
        <v>4878.01</v>
      </c>
      <c r="J984" s="1">
        <v>1265.8900000000001</v>
      </c>
      <c r="K984" s="8" t="str">
        <f t="shared" si="15"/>
        <v>Jul</v>
      </c>
    </row>
    <row r="985" spans="1:11">
      <c r="A985" s="1" t="s">
        <v>1009</v>
      </c>
      <c r="B985" s="2">
        <v>45699</v>
      </c>
      <c r="C985" s="1" t="s">
        <v>12</v>
      </c>
      <c r="D985" s="1" t="s">
        <v>29</v>
      </c>
      <c r="E985" s="1" t="s">
        <v>20</v>
      </c>
      <c r="F985" s="1">
        <v>26</v>
      </c>
      <c r="G985" s="1">
        <v>27.76</v>
      </c>
      <c r="H985" s="1">
        <v>721.76</v>
      </c>
      <c r="I985" s="1">
        <v>532.5</v>
      </c>
      <c r="J985" s="1">
        <v>189.26</v>
      </c>
      <c r="K985" s="8" t="str">
        <f t="shared" si="15"/>
        <v>Feb</v>
      </c>
    </row>
    <row r="986" spans="1:11">
      <c r="A986" s="1" t="s">
        <v>1010</v>
      </c>
      <c r="B986" s="2">
        <v>45794</v>
      </c>
      <c r="C986" s="1" t="s">
        <v>12</v>
      </c>
      <c r="D986" s="1" t="s">
        <v>13</v>
      </c>
      <c r="E986" s="1" t="s">
        <v>26</v>
      </c>
      <c r="F986" s="1">
        <v>45</v>
      </c>
      <c r="G986" s="1">
        <v>15.32</v>
      </c>
      <c r="H986" s="1">
        <v>689.4</v>
      </c>
      <c r="I986" s="1">
        <v>527.79</v>
      </c>
      <c r="J986" s="1">
        <v>161.61000000000001</v>
      </c>
      <c r="K986" s="8" t="str">
        <f t="shared" si="15"/>
        <v>May</v>
      </c>
    </row>
    <row r="987" spans="1:11">
      <c r="A987" s="1" t="s">
        <v>1011</v>
      </c>
      <c r="B987" s="2">
        <v>45974</v>
      </c>
      <c r="C987" s="1" t="s">
        <v>36</v>
      </c>
      <c r="D987" s="1" t="s">
        <v>17</v>
      </c>
      <c r="E987" s="1" t="s">
        <v>23</v>
      </c>
      <c r="F987" s="1">
        <v>127</v>
      </c>
      <c r="G987" s="1">
        <v>23.2</v>
      </c>
      <c r="H987" s="1">
        <v>2946.4</v>
      </c>
      <c r="I987" s="1">
        <v>2257.06</v>
      </c>
      <c r="J987" s="1">
        <v>689.34</v>
      </c>
      <c r="K987" s="8" t="str">
        <f t="shared" si="15"/>
        <v>Nov</v>
      </c>
    </row>
    <row r="988" spans="1:11">
      <c r="A988" s="1" t="s">
        <v>1012</v>
      </c>
      <c r="B988" s="2">
        <v>45780</v>
      </c>
      <c r="C988" s="1" t="s">
        <v>31</v>
      </c>
      <c r="D988" s="1" t="s">
        <v>29</v>
      </c>
      <c r="E988" s="1" t="s">
        <v>26</v>
      </c>
      <c r="F988" s="1">
        <v>103</v>
      </c>
      <c r="G988" s="1">
        <v>16.09</v>
      </c>
      <c r="H988" s="1">
        <v>1657.27</v>
      </c>
      <c r="I988" s="1">
        <v>1292.19</v>
      </c>
      <c r="J988" s="1">
        <v>365.08</v>
      </c>
      <c r="K988" s="8" t="str">
        <f t="shared" si="15"/>
        <v>May</v>
      </c>
    </row>
    <row r="989" spans="1:11">
      <c r="A989" s="1" t="s">
        <v>1013</v>
      </c>
      <c r="B989" s="2">
        <v>45725</v>
      </c>
      <c r="C989" s="1" t="s">
        <v>16</v>
      </c>
      <c r="D989" s="1" t="s">
        <v>29</v>
      </c>
      <c r="E989" s="1" t="s">
        <v>33</v>
      </c>
      <c r="F989" s="1">
        <v>182</v>
      </c>
      <c r="G989" s="1">
        <v>21.18</v>
      </c>
      <c r="H989" s="1">
        <v>3854.76</v>
      </c>
      <c r="I989" s="1">
        <v>3014.11</v>
      </c>
      <c r="J989" s="1">
        <v>840.65</v>
      </c>
      <c r="K989" s="8" t="str">
        <f t="shared" si="15"/>
        <v>Mar</v>
      </c>
    </row>
    <row r="990" spans="1:11">
      <c r="A990" s="1" t="s">
        <v>1014</v>
      </c>
      <c r="B990" s="2">
        <v>45719</v>
      </c>
      <c r="C990" s="1" t="s">
        <v>31</v>
      </c>
      <c r="D990" s="1" t="s">
        <v>17</v>
      </c>
      <c r="E990" s="1" t="s">
        <v>33</v>
      </c>
      <c r="F990" s="1">
        <v>35</v>
      </c>
      <c r="G990" s="1">
        <v>14.79</v>
      </c>
      <c r="H990" s="1">
        <v>517.65</v>
      </c>
      <c r="I990" s="1">
        <v>340.88</v>
      </c>
      <c r="J990" s="1">
        <v>176.77</v>
      </c>
      <c r="K990" s="8" t="str">
        <f t="shared" si="15"/>
        <v>Mar</v>
      </c>
    </row>
    <row r="991" spans="1:11">
      <c r="A991" s="1" t="s">
        <v>1015</v>
      </c>
      <c r="B991" s="2">
        <v>45702</v>
      </c>
      <c r="C991" s="1" t="s">
        <v>31</v>
      </c>
      <c r="D991" s="1" t="s">
        <v>29</v>
      </c>
      <c r="E991" s="1" t="s">
        <v>26</v>
      </c>
      <c r="F991" s="1">
        <v>114</v>
      </c>
      <c r="G991" s="1">
        <v>39.69</v>
      </c>
      <c r="H991" s="1">
        <v>4524.66</v>
      </c>
      <c r="I991" s="1">
        <v>3113.14</v>
      </c>
      <c r="J991" s="1">
        <v>1411.52</v>
      </c>
      <c r="K991" s="8" t="str">
        <f t="shared" si="15"/>
        <v>Feb</v>
      </c>
    </row>
    <row r="992" spans="1:11">
      <c r="A992" s="1" t="s">
        <v>1016</v>
      </c>
      <c r="B992" s="2">
        <v>45688</v>
      </c>
      <c r="C992" s="1" t="s">
        <v>36</v>
      </c>
      <c r="D992" s="1" t="s">
        <v>29</v>
      </c>
      <c r="E992" s="1" t="s">
        <v>18</v>
      </c>
      <c r="F992" s="1">
        <v>156</v>
      </c>
      <c r="G992" s="1">
        <v>16.829999999999998</v>
      </c>
      <c r="H992" s="1">
        <v>2625.48</v>
      </c>
      <c r="I992" s="1">
        <v>1623.33</v>
      </c>
      <c r="J992" s="1">
        <v>1002.15</v>
      </c>
      <c r="K992" s="8" t="str">
        <f t="shared" si="15"/>
        <v>Jan</v>
      </c>
    </row>
    <row r="993" spans="1:11">
      <c r="A993" s="1" t="s">
        <v>1017</v>
      </c>
      <c r="B993" s="2">
        <v>45971</v>
      </c>
      <c r="C993" s="1" t="s">
        <v>28</v>
      </c>
      <c r="D993" s="1" t="s">
        <v>17</v>
      </c>
      <c r="E993" s="1" t="s">
        <v>20</v>
      </c>
      <c r="F993" s="1">
        <v>83</v>
      </c>
      <c r="G993" s="1">
        <v>21.46</v>
      </c>
      <c r="H993" s="1">
        <v>1781.18</v>
      </c>
      <c r="I993" s="1">
        <v>1262.08</v>
      </c>
      <c r="J993" s="1">
        <v>519.1</v>
      </c>
      <c r="K993" s="8" t="str">
        <f t="shared" si="15"/>
        <v>Nov</v>
      </c>
    </row>
    <row r="994" spans="1:11">
      <c r="A994" s="1" t="s">
        <v>1018</v>
      </c>
      <c r="B994" s="2">
        <v>45770</v>
      </c>
      <c r="C994" s="1" t="s">
        <v>12</v>
      </c>
      <c r="D994" s="1" t="s">
        <v>13</v>
      </c>
      <c r="E994" s="1" t="s">
        <v>20</v>
      </c>
      <c r="F994" s="1">
        <v>153</v>
      </c>
      <c r="G994" s="1">
        <v>18.12</v>
      </c>
      <c r="H994" s="1">
        <v>2772.36</v>
      </c>
      <c r="I994" s="1">
        <v>2192.1799999999998</v>
      </c>
      <c r="J994" s="1">
        <v>580.17999999999995</v>
      </c>
      <c r="K994" s="8" t="str">
        <f t="shared" si="15"/>
        <v>Apr</v>
      </c>
    </row>
    <row r="995" spans="1:11">
      <c r="A995" s="1" t="s">
        <v>1019</v>
      </c>
      <c r="B995" s="2">
        <v>46013</v>
      </c>
      <c r="C995" s="1" t="s">
        <v>22</v>
      </c>
      <c r="D995" s="1" t="s">
        <v>17</v>
      </c>
      <c r="E995" s="1" t="s">
        <v>14</v>
      </c>
      <c r="F995" s="1">
        <v>166</v>
      </c>
      <c r="G995" s="1">
        <v>21.88</v>
      </c>
      <c r="H995" s="1">
        <v>3632.08</v>
      </c>
      <c r="I995" s="1">
        <v>2342.02</v>
      </c>
      <c r="J995" s="1">
        <v>1290.06</v>
      </c>
      <c r="K995" s="8" t="str">
        <f t="shared" si="15"/>
        <v>Dec</v>
      </c>
    </row>
    <row r="996" spans="1:11">
      <c r="A996" s="1" t="s">
        <v>1020</v>
      </c>
      <c r="B996" s="2">
        <v>45894</v>
      </c>
      <c r="C996" s="1" t="s">
        <v>12</v>
      </c>
      <c r="D996" s="1" t="s">
        <v>29</v>
      </c>
      <c r="E996" s="1" t="s">
        <v>33</v>
      </c>
      <c r="F996" s="1">
        <v>271</v>
      </c>
      <c r="G996" s="1">
        <v>20.440000000000001</v>
      </c>
      <c r="H996" s="1">
        <v>5539.24</v>
      </c>
      <c r="I996" s="1">
        <v>3860.54</v>
      </c>
      <c r="J996" s="1">
        <v>1678.7</v>
      </c>
      <c r="K996" s="8" t="str">
        <f t="shared" si="15"/>
        <v>Aug</v>
      </c>
    </row>
    <row r="997" spans="1:11">
      <c r="A997" s="1" t="s">
        <v>1021</v>
      </c>
      <c r="B997" s="2">
        <v>45840</v>
      </c>
      <c r="C997" s="1" t="s">
        <v>36</v>
      </c>
      <c r="D997" s="1" t="s">
        <v>29</v>
      </c>
      <c r="E997" s="1" t="s">
        <v>18</v>
      </c>
      <c r="F997" s="1">
        <v>215</v>
      </c>
      <c r="G997" s="1">
        <v>16.29</v>
      </c>
      <c r="H997" s="1">
        <v>3502.35</v>
      </c>
      <c r="I997" s="1">
        <v>2344.7800000000002</v>
      </c>
      <c r="J997" s="1">
        <v>1157.57</v>
      </c>
      <c r="K997" s="8" t="str">
        <f t="shared" si="15"/>
        <v>Jul</v>
      </c>
    </row>
    <row r="998" spans="1:11">
      <c r="A998" s="1" t="s">
        <v>1022</v>
      </c>
      <c r="B998" s="2">
        <v>45738</v>
      </c>
      <c r="C998" s="1" t="s">
        <v>22</v>
      </c>
      <c r="D998" s="1" t="s">
        <v>17</v>
      </c>
      <c r="E998" s="1" t="s">
        <v>23</v>
      </c>
      <c r="F998" s="1">
        <v>278</v>
      </c>
      <c r="G998" s="1">
        <v>32.93</v>
      </c>
      <c r="H998" s="1">
        <v>9154.5400000000009</v>
      </c>
      <c r="I998" s="1">
        <v>6270.98</v>
      </c>
      <c r="J998" s="1">
        <v>2883.56</v>
      </c>
      <c r="K998" s="8" t="str">
        <f t="shared" si="15"/>
        <v>Mar</v>
      </c>
    </row>
    <row r="999" spans="1:11">
      <c r="A999" s="1" t="s">
        <v>1023</v>
      </c>
      <c r="B999" s="2">
        <v>45765</v>
      </c>
      <c r="C999" s="1" t="s">
        <v>12</v>
      </c>
      <c r="D999" s="1" t="s">
        <v>13</v>
      </c>
      <c r="E999" s="1" t="s">
        <v>14</v>
      </c>
      <c r="F999" s="1">
        <v>111</v>
      </c>
      <c r="G999" s="1">
        <v>29.61</v>
      </c>
      <c r="H999" s="1">
        <v>3286.71</v>
      </c>
      <c r="I999" s="1">
        <v>2135.5300000000002</v>
      </c>
      <c r="J999" s="1">
        <v>1151.18</v>
      </c>
      <c r="K999" s="8" t="str">
        <f t="shared" si="15"/>
        <v>Apr</v>
      </c>
    </row>
    <row r="1000" spans="1:11">
      <c r="A1000" s="1" t="s">
        <v>1024</v>
      </c>
      <c r="B1000" s="2">
        <v>45799</v>
      </c>
      <c r="C1000" s="1" t="s">
        <v>28</v>
      </c>
      <c r="D1000" s="1" t="s">
        <v>29</v>
      </c>
      <c r="E1000" s="1" t="s">
        <v>23</v>
      </c>
      <c r="F1000" s="1">
        <v>188</v>
      </c>
      <c r="G1000" s="1">
        <v>29.07</v>
      </c>
      <c r="H1000" s="1">
        <v>5465.16</v>
      </c>
      <c r="I1000" s="1">
        <v>3806.37</v>
      </c>
      <c r="J1000" s="1">
        <v>1658.79</v>
      </c>
      <c r="K1000" s="8" t="str">
        <f t="shared" si="15"/>
        <v>May</v>
      </c>
    </row>
    <row r="1001" spans="1:11">
      <c r="A1001" s="1" t="s">
        <v>1025</v>
      </c>
      <c r="B1001" s="2">
        <v>45769</v>
      </c>
      <c r="C1001" s="1" t="s">
        <v>31</v>
      </c>
      <c r="D1001" s="1" t="s">
        <v>17</v>
      </c>
      <c r="E1001" s="1" t="s">
        <v>20</v>
      </c>
      <c r="F1001" s="1">
        <v>171</v>
      </c>
      <c r="G1001" s="1">
        <v>23.12</v>
      </c>
      <c r="H1001" s="1">
        <v>3953.52</v>
      </c>
      <c r="I1001" s="1">
        <v>2373.62</v>
      </c>
      <c r="J1001" s="1">
        <v>1579.9</v>
      </c>
      <c r="K1001" s="8" t="str">
        <f t="shared" si="15"/>
        <v>Apr</v>
      </c>
    </row>
    <row r="1002" spans="1:11">
      <c r="A1002" s="1" t="s">
        <v>1026</v>
      </c>
      <c r="B1002" s="2">
        <v>45940</v>
      </c>
      <c r="C1002" s="1" t="s">
        <v>22</v>
      </c>
      <c r="D1002" s="1" t="s">
        <v>29</v>
      </c>
      <c r="E1002" s="1" t="s">
        <v>20</v>
      </c>
      <c r="F1002" s="1">
        <v>292</v>
      </c>
      <c r="G1002" s="1">
        <v>28.05</v>
      </c>
      <c r="H1002" s="1">
        <v>8190.6</v>
      </c>
      <c r="I1002" s="1">
        <v>5939.88</v>
      </c>
      <c r="J1002" s="1">
        <v>2250.7199999999998</v>
      </c>
      <c r="K1002" s="8" t="str">
        <f t="shared" si="15"/>
        <v>Oct</v>
      </c>
    </row>
    <row r="1003" spans="1:11">
      <c r="A1003" s="1" t="s">
        <v>1027</v>
      </c>
      <c r="B1003" s="2">
        <v>45807</v>
      </c>
      <c r="C1003" s="1" t="s">
        <v>28</v>
      </c>
      <c r="D1003" s="1" t="s">
        <v>17</v>
      </c>
      <c r="E1003" s="1" t="s">
        <v>33</v>
      </c>
      <c r="F1003" s="1">
        <v>58</v>
      </c>
      <c r="G1003" s="1">
        <v>33.590000000000003</v>
      </c>
      <c r="H1003" s="1">
        <v>1948.22</v>
      </c>
      <c r="I1003" s="1">
        <v>1433.17</v>
      </c>
      <c r="J1003" s="1">
        <v>515.04999999999995</v>
      </c>
      <c r="K1003" s="8" t="str">
        <f t="shared" si="15"/>
        <v>May</v>
      </c>
    </row>
    <row r="1004" spans="1:11">
      <c r="A1004" s="1" t="s">
        <v>1028</v>
      </c>
      <c r="B1004" s="2">
        <v>45881</v>
      </c>
      <c r="C1004" s="1" t="s">
        <v>22</v>
      </c>
      <c r="D1004" s="1" t="s">
        <v>29</v>
      </c>
      <c r="E1004" s="1" t="s">
        <v>20</v>
      </c>
      <c r="F1004" s="1">
        <v>106</v>
      </c>
      <c r="G1004" s="1">
        <v>35.43</v>
      </c>
      <c r="H1004" s="1">
        <v>3755.58</v>
      </c>
      <c r="I1004" s="1">
        <v>2370.62</v>
      </c>
      <c r="J1004" s="1">
        <v>1384.96</v>
      </c>
      <c r="K1004" s="8" t="str">
        <f t="shared" si="15"/>
        <v>Aug</v>
      </c>
    </row>
    <row r="1005" spans="1:11">
      <c r="A1005" s="1" t="s">
        <v>1029</v>
      </c>
      <c r="B1005" s="2">
        <v>45820</v>
      </c>
      <c r="C1005" s="1" t="s">
        <v>31</v>
      </c>
      <c r="D1005" s="1" t="s">
        <v>13</v>
      </c>
      <c r="E1005" s="1" t="s">
        <v>26</v>
      </c>
      <c r="F1005" s="1">
        <v>123</v>
      </c>
      <c r="G1005" s="1">
        <v>29.33</v>
      </c>
      <c r="H1005" s="1">
        <v>3607.59</v>
      </c>
      <c r="I1005" s="1">
        <v>2477.6999999999998</v>
      </c>
      <c r="J1005" s="1">
        <v>1129.8900000000001</v>
      </c>
      <c r="K1005" s="8" t="str">
        <f t="shared" si="15"/>
        <v>Jun</v>
      </c>
    </row>
    <row r="1006" spans="1:11">
      <c r="A1006" s="1" t="s">
        <v>1030</v>
      </c>
      <c r="B1006" s="2">
        <v>45751</v>
      </c>
      <c r="C1006" s="1" t="s">
        <v>22</v>
      </c>
      <c r="D1006" s="1" t="s">
        <v>17</v>
      </c>
      <c r="E1006" s="1" t="s">
        <v>33</v>
      </c>
      <c r="F1006" s="1">
        <v>107</v>
      </c>
      <c r="G1006" s="1">
        <v>14.84</v>
      </c>
      <c r="H1006" s="1">
        <v>1587.88</v>
      </c>
      <c r="I1006" s="1">
        <v>1138.95</v>
      </c>
      <c r="J1006" s="1">
        <v>448.93</v>
      </c>
      <c r="K1006" s="8" t="str">
        <f t="shared" si="15"/>
        <v>Apr</v>
      </c>
    </row>
    <row r="1007" spans="1:11">
      <c r="A1007" s="1" t="s">
        <v>1031</v>
      </c>
      <c r="B1007" s="2">
        <v>45915</v>
      </c>
      <c r="C1007" s="1" t="s">
        <v>22</v>
      </c>
      <c r="D1007" s="1" t="s">
        <v>17</v>
      </c>
      <c r="E1007" s="1" t="s">
        <v>26</v>
      </c>
      <c r="F1007" s="1">
        <v>258</v>
      </c>
      <c r="G1007" s="1">
        <v>35.1</v>
      </c>
      <c r="H1007" s="1">
        <v>9055.7999999999993</v>
      </c>
      <c r="I1007" s="1">
        <v>5463.77</v>
      </c>
      <c r="J1007" s="1">
        <v>3592.03</v>
      </c>
      <c r="K1007" s="8" t="str">
        <f t="shared" si="15"/>
        <v>Sep</v>
      </c>
    </row>
    <row r="1008" spans="1:11">
      <c r="A1008" s="1" t="s">
        <v>1032</v>
      </c>
      <c r="B1008" s="2">
        <v>45988</v>
      </c>
      <c r="C1008" s="1" t="s">
        <v>31</v>
      </c>
      <c r="D1008" s="1" t="s">
        <v>29</v>
      </c>
      <c r="E1008" s="1" t="s">
        <v>33</v>
      </c>
      <c r="F1008" s="1">
        <v>62</v>
      </c>
      <c r="G1008" s="1">
        <v>26.14</v>
      </c>
      <c r="H1008" s="1">
        <v>1620.68</v>
      </c>
      <c r="I1008" s="1">
        <v>1042.95</v>
      </c>
      <c r="J1008" s="1">
        <v>577.73</v>
      </c>
      <c r="K1008" s="8" t="str">
        <f t="shared" si="15"/>
        <v>Nov</v>
      </c>
    </row>
    <row r="1009" spans="1:11">
      <c r="A1009" s="1" t="s">
        <v>1033</v>
      </c>
      <c r="B1009" s="2">
        <v>45962</v>
      </c>
      <c r="C1009" s="1" t="s">
        <v>31</v>
      </c>
      <c r="D1009" s="1" t="s">
        <v>17</v>
      </c>
      <c r="E1009" s="1" t="s">
        <v>26</v>
      </c>
      <c r="F1009" s="1">
        <v>126</v>
      </c>
      <c r="G1009" s="1">
        <v>38.19</v>
      </c>
      <c r="H1009" s="1">
        <v>4811.9399999999996</v>
      </c>
      <c r="I1009" s="1">
        <v>3052.65</v>
      </c>
      <c r="J1009" s="1">
        <v>1759.29</v>
      </c>
      <c r="K1009" s="8" t="str">
        <f t="shared" si="15"/>
        <v>Nov</v>
      </c>
    </row>
    <row r="1010" spans="1:11">
      <c r="A1010" s="1" t="s">
        <v>1034</v>
      </c>
      <c r="B1010" s="2">
        <v>45903</v>
      </c>
      <c r="C1010" s="1" t="s">
        <v>31</v>
      </c>
      <c r="D1010" s="1" t="s">
        <v>13</v>
      </c>
      <c r="E1010" s="1" t="s">
        <v>14</v>
      </c>
      <c r="F1010" s="1">
        <v>43</v>
      </c>
      <c r="G1010" s="1">
        <v>39.43</v>
      </c>
      <c r="H1010" s="1">
        <v>1695.49</v>
      </c>
      <c r="I1010" s="1">
        <v>1070.74</v>
      </c>
      <c r="J1010" s="1">
        <v>624.75</v>
      </c>
      <c r="K1010" s="8" t="str">
        <f t="shared" si="15"/>
        <v>Sep</v>
      </c>
    </row>
    <row r="1011" spans="1:11">
      <c r="A1011" s="1" t="s">
        <v>1035</v>
      </c>
      <c r="B1011" s="2">
        <v>45939</v>
      </c>
      <c r="C1011" s="1" t="s">
        <v>16</v>
      </c>
      <c r="D1011" s="1" t="s">
        <v>13</v>
      </c>
      <c r="E1011" s="1" t="s">
        <v>20</v>
      </c>
      <c r="F1011" s="1">
        <v>61</v>
      </c>
      <c r="G1011" s="1">
        <v>11.8</v>
      </c>
      <c r="H1011" s="1">
        <v>719.8</v>
      </c>
      <c r="I1011" s="1">
        <v>514.29999999999995</v>
      </c>
      <c r="J1011" s="1">
        <v>205.5</v>
      </c>
      <c r="K1011" s="8" t="str">
        <f t="shared" si="15"/>
        <v>Oct</v>
      </c>
    </row>
    <row r="1012" spans="1:11">
      <c r="A1012" s="1" t="s">
        <v>1036</v>
      </c>
      <c r="B1012" s="2">
        <v>45763</v>
      </c>
      <c r="C1012" s="1" t="s">
        <v>31</v>
      </c>
      <c r="D1012" s="1" t="s">
        <v>17</v>
      </c>
      <c r="E1012" s="1" t="s">
        <v>20</v>
      </c>
      <c r="F1012" s="1">
        <v>53</v>
      </c>
      <c r="G1012" s="1">
        <v>17.670000000000002</v>
      </c>
      <c r="H1012" s="1">
        <v>936.51</v>
      </c>
      <c r="I1012" s="1">
        <v>718.03</v>
      </c>
      <c r="J1012" s="1">
        <v>218.48</v>
      </c>
      <c r="K1012" s="8" t="str">
        <f t="shared" si="15"/>
        <v>Apr</v>
      </c>
    </row>
    <row r="1013" spans="1:11">
      <c r="A1013" s="1" t="s">
        <v>1037</v>
      </c>
      <c r="B1013" s="2">
        <v>45786</v>
      </c>
      <c r="C1013" s="1" t="s">
        <v>31</v>
      </c>
      <c r="D1013" s="1" t="s">
        <v>13</v>
      </c>
      <c r="E1013" s="1" t="s">
        <v>33</v>
      </c>
      <c r="F1013" s="1">
        <v>10</v>
      </c>
      <c r="G1013" s="1">
        <v>19</v>
      </c>
      <c r="H1013" s="1">
        <v>190</v>
      </c>
      <c r="I1013" s="1">
        <v>131.54</v>
      </c>
      <c r="J1013" s="1">
        <v>58.46</v>
      </c>
      <c r="K1013" s="8" t="str">
        <f t="shared" si="15"/>
        <v>May</v>
      </c>
    </row>
    <row r="1014" spans="1:11">
      <c r="A1014" s="1" t="s">
        <v>1038</v>
      </c>
      <c r="B1014" s="2">
        <v>45869</v>
      </c>
      <c r="C1014" s="1" t="s">
        <v>16</v>
      </c>
      <c r="D1014" s="1" t="s">
        <v>17</v>
      </c>
      <c r="E1014" s="1" t="s">
        <v>33</v>
      </c>
      <c r="F1014" s="1">
        <v>68</v>
      </c>
      <c r="G1014" s="1">
        <v>32.630000000000003</v>
      </c>
      <c r="H1014" s="1">
        <v>2218.84</v>
      </c>
      <c r="I1014" s="1">
        <v>1714.43</v>
      </c>
      <c r="J1014" s="1">
        <v>504.41</v>
      </c>
      <c r="K1014" s="8" t="str">
        <f t="shared" si="15"/>
        <v>Jul</v>
      </c>
    </row>
    <row r="1015" spans="1:11">
      <c r="A1015" s="1" t="s">
        <v>1039</v>
      </c>
      <c r="B1015" s="2">
        <v>45713</v>
      </c>
      <c r="C1015" s="1" t="s">
        <v>22</v>
      </c>
      <c r="D1015" s="1" t="s">
        <v>13</v>
      </c>
      <c r="E1015" s="1" t="s">
        <v>14</v>
      </c>
      <c r="F1015" s="1">
        <v>241</v>
      </c>
      <c r="G1015" s="1">
        <v>30.91</v>
      </c>
      <c r="H1015" s="1">
        <v>7449.31</v>
      </c>
      <c r="I1015" s="1">
        <v>5632.17</v>
      </c>
      <c r="J1015" s="1">
        <v>1817.14</v>
      </c>
      <c r="K1015" s="8" t="str">
        <f t="shared" si="15"/>
        <v>Feb</v>
      </c>
    </row>
    <row r="1016" spans="1:11">
      <c r="A1016" s="1" t="s">
        <v>1040</v>
      </c>
      <c r="B1016" s="2">
        <v>45676</v>
      </c>
      <c r="C1016" s="1" t="s">
        <v>12</v>
      </c>
      <c r="D1016" s="1" t="s">
        <v>17</v>
      </c>
      <c r="E1016" s="1" t="s">
        <v>20</v>
      </c>
      <c r="F1016" s="1">
        <v>170</v>
      </c>
      <c r="G1016" s="1">
        <v>32.71</v>
      </c>
      <c r="H1016" s="1">
        <v>5560.7</v>
      </c>
      <c r="I1016" s="1">
        <v>3794.34</v>
      </c>
      <c r="J1016" s="1">
        <v>1766.36</v>
      </c>
      <c r="K1016" s="8" t="str">
        <f t="shared" si="15"/>
        <v>Jan</v>
      </c>
    </row>
    <row r="1017" spans="1:11">
      <c r="A1017" s="1" t="s">
        <v>1041</v>
      </c>
      <c r="B1017" s="2">
        <v>45817</v>
      </c>
      <c r="C1017" s="1" t="s">
        <v>12</v>
      </c>
      <c r="D1017" s="1" t="s">
        <v>29</v>
      </c>
      <c r="E1017" s="1" t="s">
        <v>18</v>
      </c>
      <c r="F1017" s="1">
        <v>223</v>
      </c>
      <c r="G1017" s="1">
        <v>12.18</v>
      </c>
      <c r="H1017" s="1">
        <v>2716.14</v>
      </c>
      <c r="I1017" s="1">
        <v>2144.61</v>
      </c>
      <c r="J1017" s="1">
        <v>571.53</v>
      </c>
      <c r="K1017" s="8" t="str">
        <f t="shared" si="15"/>
        <v>Jun</v>
      </c>
    </row>
    <row r="1018" spans="1:11">
      <c r="A1018" s="1" t="s">
        <v>1042</v>
      </c>
      <c r="B1018" s="2">
        <v>46004</v>
      </c>
      <c r="C1018" s="1" t="s">
        <v>28</v>
      </c>
      <c r="D1018" s="1" t="s">
        <v>17</v>
      </c>
      <c r="E1018" s="1" t="s">
        <v>20</v>
      </c>
      <c r="F1018" s="1">
        <v>233</v>
      </c>
      <c r="G1018" s="1">
        <v>27.55</v>
      </c>
      <c r="H1018" s="1">
        <v>6419.15</v>
      </c>
      <c r="I1018" s="1">
        <v>4533.0200000000004</v>
      </c>
      <c r="J1018" s="1">
        <v>1886.13</v>
      </c>
      <c r="K1018" s="8" t="str">
        <f t="shared" si="15"/>
        <v>Dec</v>
      </c>
    </row>
    <row r="1019" spans="1:11">
      <c r="A1019" s="1" t="s">
        <v>1043</v>
      </c>
      <c r="B1019" s="2">
        <v>45866</v>
      </c>
      <c r="C1019" s="1" t="s">
        <v>22</v>
      </c>
      <c r="D1019" s="1" t="s">
        <v>17</v>
      </c>
      <c r="E1019" s="1" t="s">
        <v>23</v>
      </c>
      <c r="F1019" s="1">
        <v>218</v>
      </c>
      <c r="G1019" s="1">
        <v>16.329999999999998</v>
      </c>
      <c r="H1019" s="1">
        <v>3559.94</v>
      </c>
      <c r="I1019" s="1">
        <v>2170.92</v>
      </c>
      <c r="J1019" s="1">
        <v>1389.02</v>
      </c>
      <c r="K1019" s="8" t="str">
        <f t="shared" si="15"/>
        <v>Jul</v>
      </c>
    </row>
    <row r="1020" spans="1:11">
      <c r="A1020" s="1" t="s">
        <v>1044</v>
      </c>
      <c r="B1020" s="2">
        <v>45783</v>
      </c>
      <c r="C1020" s="1" t="s">
        <v>36</v>
      </c>
      <c r="D1020" s="1" t="s">
        <v>17</v>
      </c>
      <c r="E1020" s="1" t="s">
        <v>18</v>
      </c>
      <c r="F1020" s="1">
        <v>295</v>
      </c>
      <c r="G1020" s="1">
        <v>25.26</v>
      </c>
      <c r="H1020" s="1">
        <v>7451.7</v>
      </c>
      <c r="I1020" s="1">
        <v>4647.4799999999996</v>
      </c>
      <c r="J1020" s="1">
        <v>2804.22</v>
      </c>
      <c r="K1020" s="8" t="str">
        <f t="shared" si="15"/>
        <v>May</v>
      </c>
    </row>
    <row r="1021" spans="1:11">
      <c r="A1021" s="1" t="s">
        <v>1045</v>
      </c>
      <c r="B1021" s="2">
        <v>45662</v>
      </c>
      <c r="C1021" s="1" t="s">
        <v>22</v>
      </c>
      <c r="D1021" s="1" t="s">
        <v>13</v>
      </c>
      <c r="E1021" s="1" t="s">
        <v>18</v>
      </c>
      <c r="F1021" s="1">
        <v>16</v>
      </c>
      <c r="G1021" s="1">
        <v>17.77</v>
      </c>
      <c r="H1021" s="1">
        <v>284.32</v>
      </c>
      <c r="I1021" s="1">
        <v>198.36</v>
      </c>
      <c r="J1021" s="1">
        <v>85.96</v>
      </c>
      <c r="K1021" s="8" t="str">
        <f t="shared" si="15"/>
        <v>Jan</v>
      </c>
    </row>
    <row r="1022" spans="1:11">
      <c r="A1022" s="1" t="s">
        <v>1046</v>
      </c>
      <c r="B1022" s="2">
        <v>45725</v>
      </c>
      <c r="C1022" s="1" t="s">
        <v>22</v>
      </c>
      <c r="D1022" s="1" t="s">
        <v>13</v>
      </c>
      <c r="E1022" s="1" t="s">
        <v>33</v>
      </c>
      <c r="F1022" s="1">
        <v>163</v>
      </c>
      <c r="G1022" s="1">
        <v>23.02</v>
      </c>
      <c r="H1022" s="1">
        <v>3752.26</v>
      </c>
      <c r="I1022" s="1">
        <v>2728.3</v>
      </c>
      <c r="J1022" s="1">
        <v>1023.96</v>
      </c>
      <c r="K1022" s="8" t="str">
        <f t="shared" si="15"/>
        <v>Mar</v>
      </c>
    </row>
    <row r="1023" spans="1:11">
      <c r="A1023" s="1" t="s">
        <v>1047</v>
      </c>
      <c r="B1023" s="2">
        <v>45859</v>
      </c>
      <c r="C1023" s="1" t="s">
        <v>28</v>
      </c>
      <c r="D1023" s="1" t="s">
        <v>29</v>
      </c>
      <c r="E1023" s="1" t="s">
        <v>14</v>
      </c>
      <c r="F1023" s="1">
        <v>11</v>
      </c>
      <c r="G1023" s="1">
        <v>29.73</v>
      </c>
      <c r="H1023" s="1">
        <v>327.02999999999997</v>
      </c>
      <c r="I1023" s="1">
        <v>197.65</v>
      </c>
      <c r="J1023" s="1">
        <v>129.38</v>
      </c>
      <c r="K1023" s="8" t="str">
        <f t="shared" si="15"/>
        <v>Jul</v>
      </c>
    </row>
    <row r="1024" spans="1:11">
      <c r="A1024" s="1" t="s">
        <v>1048</v>
      </c>
      <c r="B1024" s="2">
        <v>45924</v>
      </c>
      <c r="C1024" s="1" t="s">
        <v>36</v>
      </c>
      <c r="D1024" s="1" t="s">
        <v>13</v>
      </c>
      <c r="E1024" s="1" t="s">
        <v>14</v>
      </c>
      <c r="F1024" s="1">
        <v>128</v>
      </c>
      <c r="G1024" s="1">
        <v>20.100000000000001</v>
      </c>
      <c r="H1024" s="1">
        <v>2572.8000000000002</v>
      </c>
      <c r="I1024" s="1">
        <v>1609.63</v>
      </c>
      <c r="J1024" s="1">
        <v>963.17</v>
      </c>
      <c r="K1024" s="8" t="str">
        <f t="shared" si="15"/>
        <v>Sep</v>
      </c>
    </row>
    <row r="1025" spans="1:11">
      <c r="A1025" s="1" t="s">
        <v>1049</v>
      </c>
      <c r="B1025" s="2">
        <v>45680</v>
      </c>
      <c r="C1025" s="1" t="s">
        <v>22</v>
      </c>
      <c r="D1025" s="1" t="s">
        <v>13</v>
      </c>
      <c r="E1025" s="1" t="s">
        <v>26</v>
      </c>
      <c r="F1025" s="1">
        <v>161</v>
      </c>
      <c r="G1025" s="1">
        <v>19.170000000000002</v>
      </c>
      <c r="H1025" s="1">
        <v>3086.37</v>
      </c>
      <c r="I1025" s="1">
        <v>2188.7600000000002</v>
      </c>
      <c r="J1025" s="1">
        <v>897.61</v>
      </c>
      <c r="K1025" s="8" t="str">
        <f t="shared" si="15"/>
        <v>Jan</v>
      </c>
    </row>
    <row r="1026" spans="1:11">
      <c r="A1026" s="1" t="s">
        <v>1050</v>
      </c>
      <c r="B1026" s="2">
        <v>45986</v>
      </c>
      <c r="C1026" s="1" t="s">
        <v>36</v>
      </c>
      <c r="D1026" s="1" t="s">
        <v>17</v>
      </c>
      <c r="E1026" s="1" t="s">
        <v>33</v>
      </c>
      <c r="F1026" s="1">
        <v>44</v>
      </c>
      <c r="G1026" s="1">
        <v>39.869999999999997</v>
      </c>
      <c r="H1026" s="1">
        <v>1754.28</v>
      </c>
      <c r="I1026" s="1">
        <v>1157.48</v>
      </c>
      <c r="J1026" s="1">
        <v>596.79999999999995</v>
      </c>
      <c r="K1026" s="8" t="str">
        <f t="shared" ref="K1026:K1089" si="16">TEXT(B1026,"mmm")</f>
        <v>Nov</v>
      </c>
    </row>
    <row r="1027" spans="1:11">
      <c r="A1027" s="1" t="s">
        <v>1051</v>
      </c>
      <c r="B1027" s="2">
        <v>45749</v>
      </c>
      <c r="C1027" s="1" t="s">
        <v>16</v>
      </c>
      <c r="D1027" s="1" t="s">
        <v>13</v>
      </c>
      <c r="E1027" s="1" t="s">
        <v>23</v>
      </c>
      <c r="F1027" s="1">
        <v>212</v>
      </c>
      <c r="G1027" s="1">
        <v>29.1</v>
      </c>
      <c r="H1027" s="1">
        <v>6169.2</v>
      </c>
      <c r="I1027" s="1">
        <v>4614.55</v>
      </c>
      <c r="J1027" s="1">
        <v>1554.65</v>
      </c>
      <c r="K1027" s="8" t="str">
        <f t="shared" si="16"/>
        <v>Apr</v>
      </c>
    </row>
    <row r="1028" spans="1:11">
      <c r="A1028" s="1" t="s">
        <v>1052</v>
      </c>
      <c r="B1028" s="2">
        <v>45895</v>
      </c>
      <c r="C1028" s="1" t="s">
        <v>16</v>
      </c>
      <c r="D1028" s="1" t="s">
        <v>17</v>
      </c>
      <c r="E1028" s="1" t="s">
        <v>20</v>
      </c>
      <c r="F1028" s="1">
        <v>163</v>
      </c>
      <c r="G1028" s="1">
        <v>24.61</v>
      </c>
      <c r="H1028" s="1">
        <v>4011.43</v>
      </c>
      <c r="I1028" s="1">
        <v>2763.02</v>
      </c>
      <c r="J1028" s="1">
        <v>1248.4100000000001</v>
      </c>
      <c r="K1028" s="8" t="str">
        <f t="shared" si="16"/>
        <v>Aug</v>
      </c>
    </row>
    <row r="1029" spans="1:11">
      <c r="A1029" s="1" t="s">
        <v>1053</v>
      </c>
      <c r="B1029" s="2">
        <v>45852</v>
      </c>
      <c r="C1029" s="1" t="s">
        <v>28</v>
      </c>
      <c r="D1029" s="1" t="s">
        <v>17</v>
      </c>
      <c r="E1029" s="1" t="s">
        <v>23</v>
      </c>
      <c r="F1029" s="1">
        <v>112</v>
      </c>
      <c r="G1029" s="1">
        <v>19.649999999999999</v>
      </c>
      <c r="H1029" s="1">
        <v>2200.8000000000002</v>
      </c>
      <c r="I1029" s="1">
        <v>1604.93</v>
      </c>
      <c r="J1029" s="1">
        <v>595.87</v>
      </c>
      <c r="K1029" s="8" t="str">
        <f t="shared" si="16"/>
        <v>Jul</v>
      </c>
    </row>
    <row r="1030" spans="1:11">
      <c r="A1030" s="1" t="s">
        <v>1054</v>
      </c>
      <c r="B1030" s="2">
        <v>45942</v>
      </c>
      <c r="C1030" s="1" t="s">
        <v>36</v>
      </c>
      <c r="D1030" s="1" t="s">
        <v>17</v>
      </c>
      <c r="E1030" s="1" t="s">
        <v>14</v>
      </c>
      <c r="F1030" s="1">
        <v>152</v>
      </c>
      <c r="G1030" s="1">
        <v>35.020000000000003</v>
      </c>
      <c r="H1030" s="1">
        <v>5323.04</v>
      </c>
      <c r="I1030" s="1">
        <v>3818</v>
      </c>
      <c r="J1030" s="1">
        <v>1505.04</v>
      </c>
      <c r="K1030" s="8" t="str">
        <f t="shared" si="16"/>
        <v>Oct</v>
      </c>
    </row>
    <row r="1031" spans="1:11">
      <c r="A1031" s="1" t="s">
        <v>1055</v>
      </c>
      <c r="B1031" s="2">
        <v>45761</v>
      </c>
      <c r="C1031" s="1" t="s">
        <v>31</v>
      </c>
      <c r="D1031" s="1" t="s">
        <v>17</v>
      </c>
      <c r="E1031" s="1" t="s">
        <v>20</v>
      </c>
      <c r="F1031" s="1">
        <v>88</v>
      </c>
      <c r="G1031" s="1">
        <v>23.21</v>
      </c>
      <c r="H1031" s="1">
        <v>2042.48</v>
      </c>
      <c r="I1031" s="1">
        <v>1537.1</v>
      </c>
      <c r="J1031" s="1">
        <v>505.38</v>
      </c>
      <c r="K1031" s="8" t="str">
        <f t="shared" si="16"/>
        <v>Apr</v>
      </c>
    </row>
    <row r="1032" spans="1:11">
      <c r="A1032" s="1" t="s">
        <v>1056</v>
      </c>
      <c r="B1032" s="2">
        <v>45966</v>
      </c>
      <c r="C1032" s="1" t="s">
        <v>31</v>
      </c>
      <c r="D1032" s="1" t="s">
        <v>13</v>
      </c>
      <c r="E1032" s="1" t="s">
        <v>26</v>
      </c>
      <c r="F1032" s="1">
        <v>275</v>
      </c>
      <c r="G1032" s="1">
        <v>15.14</v>
      </c>
      <c r="H1032" s="1">
        <v>4163.5</v>
      </c>
      <c r="I1032" s="1">
        <v>2621.9</v>
      </c>
      <c r="J1032" s="1">
        <v>1541.6</v>
      </c>
      <c r="K1032" s="8" t="str">
        <f t="shared" si="16"/>
        <v>Nov</v>
      </c>
    </row>
    <row r="1033" spans="1:11">
      <c r="A1033" s="1" t="s">
        <v>1057</v>
      </c>
      <c r="B1033" s="2">
        <v>45945</v>
      </c>
      <c r="C1033" s="1" t="s">
        <v>28</v>
      </c>
      <c r="D1033" s="1" t="s">
        <v>29</v>
      </c>
      <c r="E1033" s="1" t="s">
        <v>14</v>
      </c>
      <c r="F1033" s="1">
        <v>18</v>
      </c>
      <c r="G1033" s="1">
        <v>22.49</v>
      </c>
      <c r="H1033" s="1">
        <v>404.82</v>
      </c>
      <c r="I1033" s="1">
        <v>245.63</v>
      </c>
      <c r="J1033" s="1">
        <v>159.19</v>
      </c>
      <c r="K1033" s="8" t="str">
        <f t="shared" si="16"/>
        <v>Oct</v>
      </c>
    </row>
    <row r="1034" spans="1:11">
      <c r="A1034" s="1" t="s">
        <v>1058</v>
      </c>
      <c r="B1034" s="2">
        <v>45958</v>
      </c>
      <c r="C1034" s="1" t="s">
        <v>16</v>
      </c>
      <c r="D1034" s="1" t="s">
        <v>17</v>
      </c>
      <c r="E1034" s="1" t="s">
        <v>14</v>
      </c>
      <c r="F1034" s="1">
        <v>235</v>
      </c>
      <c r="G1034" s="1">
        <v>31.31</v>
      </c>
      <c r="H1034" s="1">
        <v>7357.85</v>
      </c>
      <c r="I1034" s="1">
        <v>4507.5200000000004</v>
      </c>
      <c r="J1034" s="1">
        <v>2850.33</v>
      </c>
      <c r="K1034" s="8" t="str">
        <f t="shared" si="16"/>
        <v>Oct</v>
      </c>
    </row>
    <row r="1035" spans="1:11">
      <c r="A1035" s="1" t="s">
        <v>1059</v>
      </c>
      <c r="B1035" s="2">
        <v>45917</v>
      </c>
      <c r="C1035" s="1" t="s">
        <v>28</v>
      </c>
      <c r="D1035" s="1" t="s">
        <v>13</v>
      </c>
      <c r="E1035" s="1" t="s">
        <v>26</v>
      </c>
      <c r="F1035" s="1">
        <v>19</v>
      </c>
      <c r="G1035" s="1">
        <v>34.32</v>
      </c>
      <c r="H1035" s="1">
        <v>652.08000000000004</v>
      </c>
      <c r="I1035" s="1">
        <v>438.73</v>
      </c>
      <c r="J1035" s="1">
        <v>213.35</v>
      </c>
      <c r="K1035" s="8" t="str">
        <f t="shared" si="16"/>
        <v>Sep</v>
      </c>
    </row>
    <row r="1036" spans="1:11">
      <c r="A1036" s="1" t="s">
        <v>1060</v>
      </c>
      <c r="B1036" s="2">
        <v>45671</v>
      </c>
      <c r="C1036" s="1" t="s">
        <v>16</v>
      </c>
      <c r="D1036" s="1" t="s">
        <v>29</v>
      </c>
      <c r="E1036" s="1" t="s">
        <v>20</v>
      </c>
      <c r="F1036" s="1">
        <v>87</v>
      </c>
      <c r="G1036" s="1">
        <v>25.11</v>
      </c>
      <c r="H1036" s="1">
        <v>2184.5700000000002</v>
      </c>
      <c r="I1036" s="1">
        <v>1589.63</v>
      </c>
      <c r="J1036" s="1">
        <v>594.94000000000005</v>
      </c>
      <c r="K1036" s="8" t="str">
        <f t="shared" si="16"/>
        <v>Jan</v>
      </c>
    </row>
    <row r="1037" spans="1:11">
      <c r="A1037" s="1" t="s">
        <v>1061</v>
      </c>
      <c r="B1037" s="2">
        <v>45967</v>
      </c>
      <c r="C1037" s="1" t="s">
        <v>28</v>
      </c>
      <c r="D1037" s="1" t="s">
        <v>17</v>
      </c>
      <c r="E1037" s="1" t="s">
        <v>14</v>
      </c>
      <c r="F1037" s="1">
        <v>275</v>
      </c>
      <c r="G1037" s="1">
        <v>12.11</v>
      </c>
      <c r="H1037" s="1">
        <v>3330.25</v>
      </c>
      <c r="I1037" s="1">
        <v>2191.0500000000002</v>
      </c>
      <c r="J1037" s="1">
        <v>1139.2</v>
      </c>
      <c r="K1037" s="8" t="str">
        <f t="shared" si="16"/>
        <v>Nov</v>
      </c>
    </row>
    <row r="1038" spans="1:11">
      <c r="A1038" s="1" t="s">
        <v>1062</v>
      </c>
      <c r="B1038" s="2">
        <v>45958</v>
      </c>
      <c r="C1038" s="1" t="s">
        <v>12</v>
      </c>
      <c r="D1038" s="1" t="s">
        <v>29</v>
      </c>
      <c r="E1038" s="1" t="s">
        <v>26</v>
      </c>
      <c r="F1038" s="1">
        <v>133</v>
      </c>
      <c r="G1038" s="1">
        <v>19.38</v>
      </c>
      <c r="H1038" s="1">
        <v>2577.54</v>
      </c>
      <c r="I1038" s="1">
        <v>2043.64</v>
      </c>
      <c r="J1038" s="1">
        <v>533.9</v>
      </c>
      <c r="K1038" s="8" t="str">
        <f t="shared" si="16"/>
        <v>Oct</v>
      </c>
    </row>
    <row r="1039" spans="1:11">
      <c r="A1039" s="1" t="s">
        <v>1063</v>
      </c>
      <c r="B1039" s="2">
        <v>45936</v>
      </c>
      <c r="C1039" s="1" t="s">
        <v>16</v>
      </c>
      <c r="D1039" s="1" t="s">
        <v>13</v>
      </c>
      <c r="E1039" s="1" t="s">
        <v>18</v>
      </c>
      <c r="F1039" s="1">
        <v>219</v>
      </c>
      <c r="G1039" s="1">
        <v>19.16</v>
      </c>
      <c r="H1039" s="1">
        <v>4196.04</v>
      </c>
      <c r="I1039" s="1">
        <v>2566.63</v>
      </c>
      <c r="J1039" s="1">
        <v>1629.41</v>
      </c>
      <c r="K1039" s="8" t="str">
        <f t="shared" si="16"/>
        <v>Oct</v>
      </c>
    </row>
    <row r="1040" spans="1:11">
      <c r="A1040" s="1" t="s">
        <v>1064</v>
      </c>
      <c r="B1040" s="2">
        <v>45690</v>
      </c>
      <c r="C1040" s="1" t="s">
        <v>31</v>
      </c>
      <c r="D1040" s="1" t="s">
        <v>29</v>
      </c>
      <c r="E1040" s="1" t="s">
        <v>18</v>
      </c>
      <c r="F1040" s="1">
        <v>120</v>
      </c>
      <c r="G1040" s="1">
        <v>27.63</v>
      </c>
      <c r="H1040" s="1">
        <v>3315.6</v>
      </c>
      <c r="I1040" s="1">
        <v>2467.48</v>
      </c>
      <c r="J1040" s="1">
        <v>848.12</v>
      </c>
      <c r="K1040" s="8" t="str">
        <f t="shared" si="16"/>
        <v>Feb</v>
      </c>
    </row>
    <row r="1041" spans="1:11">
      <c r="A1041" s="1" t="s">
        <v>1065</v>
      </c>
      <c r="B1041" s="2">
        <v>45806</v>
      </c>
      <c r="C1041" s="1" t="s">
        <v>28</v>
      </c>
      <c r="D1041" s="1" t="s">
        <v>29</v>
      </c>
      <c r="E1041" s="1" t="s">
        <v>14</v>
      </c>
      <c r="F1041" s="1">
        <v>105</v>
      </c>
      <c r="G1041" s="1">
        <v>27.23</v>
      </c>
      <c r="H1041" s="1">
        <v>2859.15</v>
      </c>
      <c r="I1041" s="1">
        <v>1727.72</v>
      </c>
      <c r="J1041" s="1">
        <v>1131.43</v>
      </c>
      <c r="K1041" s="8" t="str">
        <f t="shared" si="16"/>
        <v>May</v>
      </c>
    </row>
    <row r="1042" spans="1:11">
      <c r="A1042" s="1" t="s">
        <v>1066</v>
      </c>
      <c r="B1042" s="2">
        <v>45811</v>
      </c>
      <c r="C1042" s="1" t="s">
        <v>16</v>
      </c>
      <c r="D1042" s="1" t="s">
        <v>13</v>
      </c>
      <c r="E1042" s="1" t="s">
        <v>23</v>
      </c>
      <c r="F1042" s="1">
        <v>291</v>
      </c>
      <c r="G1042" s="1">
        <v>18.239999999999998</v>
      </c>
      <c r="H1042" s="1">
        <v>5307.84</v>
      </c>
      <c r="I1042" s="1">
        <v>3866.75</v>
      </c>
      <c r="J1042" s="1">
        <v>1441.09</v>
      </c>
      <c r="K1042" s="8" t="str">
        <f t="shared" si="16"/>
        <v>Jun</v>
      </c>
    </row>
    <row r="1043" spans="1:11">
      <c r="A1043" s="1" t="s">
        <v>1067</v>
      </c>
      <c r="B1043" s="2">
        <v>45911</v>
      </c>
      <c r="C1043" s="1" t="s">
        <v>12</v>
      </c>
      <c r="D1043" s="1" t="s">
        <v>29</v>
      </c>
      <c r="E1043" s="1" t="s">
        <v>14</v>
      </c>
      <c r="F1043" s="1">
        <v>184</v>
      </c>
      <c r="G1043" s="1">
        <v>16.87</v>
      </c>
      <c r="H1043" s="1">
        <v>3104.08</v>
      </c>
      <c r="I1043" s="1">
        <v>1933.8</v>
      </c>
      <c r="J1043" s="1">
        <v>1170.28</v>
      </c>
      <c r="K1043" s="8" t="str">
        <f t="shared" si="16"/>
        <v>Sep</v>
      </c>
    </row>
    <row r="1044" spans="1:11">
      <c r="A1044" s="1" t="s">
        <v>1068</v>
      </c>
      <c r="B1044" s="2">
        <v>45815</v>
      </c>
      <c r="C1044" s="1" t="s">
        <v>12</v>
      </c>
      <c r="D1044" s="1" t="s">
        <v>17</v>
      </c>
      <c r="E1044" s="1" t="s">
        <v>23</v>
      </c>
      <c r="F1044" s="1">
        <v>201</v>
      </c>
      <c r="G1044" s="1">
        <v>17.420000000000002</v>
      </c>
      <c r="H1044" s="1">
        <v>3501.42</v>
      </c>
      <c r="I1044" s="1">
        <v>2740.74</v>
      </c>
      <c r="J1044" s="1">
        <v>760.68</v>
      </c>
      <c r="K1044" s="8" t="str">
        <f t="shared" si="16"/>
        <v>Jun</v>
      </c>
    </row>
    <row r="1045" spans="1:11">
      <c r="A1045" s="1" t="s">
        <v>1069</v>
      </c>
      <c r="B1045" s="2">
        <v>45964</v>
      </c>
      <c r="C1045" s="1" t="s">
        <v>31</v>
      </c>
      <c r="D1045" s="1" t="s">
        <v>29</v>
      </c>
      <c r="E1045" s="1" t="s">
        <v>20</v>
      </c>
      <c r="F1045" s="1">
        <v>133</v>
      </c>
      <c r="G1045" s="1">
        <v>39.71</v>
      </c>
      <c r="H1045" s="1">
        <v>5281.43</v>
      </c>
      <c r="I1045" s="1">
        <v>4165.22</v>
      </c>
      <c r="J1045" s="1">
        <v>1116.21</v>
      </c>
      <c r="K1045" s="8" t="str">
        <f t="shared" si="16"/>
        <v>Nov</v>
      </c>
    </row>
    <row r="1046" spans="1:11">
      <c r="A1046" s="1" t="s">
        <v>1070</v>
      </c>
      <c r="B1046" s="2">
        <v>45727</v>
      </c>
      <c r="C1046" s="1" t="s">
        <v>12</v>
      </c>
      <c r="D1046" s="1" t="s">
        <v>13</v>
      </c>
      <c r="E1046" s="1" t="s">
        <v>26</v>
      </c>
      <c r="F1046" s="1">
        <v>290</v>
      </c>
      <c r="G1046" s="1">
        <v>29.43</v>
      </c>
      <c r="H1046" s="1">
        <v>8534.7000000000007</v>
      </c>
      <c r="I1046" s="1">
        <v>6502.91</v>
      </c>
      <c r="J1046" s="1">
        <v>2031.79</v>
      </c>
      <c r="K1046" s="8" t="str">
        <f t="shared" si="16"/>
        <v>Mar</v>
      </c>
    </row>
    <row r="1047" spans="1:11">
      <c r="A1047" s="1" t="s">
        <v>1071</v>
      </c>
      <c r="B1047" s="2">
        <v>45789</v>
      </c>
      <c r="C1047" s="1" t="s">
        <v>22</v>
      </c>
      <c r="D1047" s="1" t="s">
        <v>17</v>
      </c>
      <c r="E1047" s="1" t="s">
        <v>18</v>
      </c>
      <c r="F1047" s="1">
        <v>99</v>
      </c>
      <c r="G1047" s="1">
        <v>20.81</v>
      </c>
      <c r="H1047" s="1">
        <v>2060.19</v>
      </c>
      <c r="I1047" s="1">
        <v>1520.36</v>
      </c>
      <c r="J1047" s="1">
        <v>539.83000000000004</v>
      </c>
      <c r="K1047" s="8" t="str">
        <f t="shared" si="16"/>
        <v>May</v>
      </c>
    </row>
    <row r="1048" spans="1:11">
      <c r="A1048" s="1" t="s">
        <v>1072</v>
      </c>
      <c r="B1048" s="2">
        <v>45747</v>
      </c>
      <c r="C1048" s="1" t="s">
        <v>22</v>
      </c>
      <c r="D1048" s="1" t="s">
        <v>17</v>
      </c>
      <c r="E1048" s="1" t="s">
        <v>33</v>
      </c>
      <c r="F1048" s="1">
        <v>59</v>
      </c>
      <c r="G1048" s="1">
        <v>19.010000000000002</v>
      </c>
      <c r="H1048" s="1">
        <v>1121.5899999999999</v>
      </c>
      <c r="I1048" s="1">
        <v>852.65</v>
      </c>
      <c r="J1048" s="1">
        <v>268.94</v>
      </c>
      <c r="K1048" s="8" t="str">
        <f t="shared" si="16"/>
        <v>Mar</v>
      </c>
    </row>
    <row r="1049" spans="1:11">
      <c r="A1049" s="1" t="s">
        <v>1073</v>
      </c>
      <c r="B1049" s="2">
        <v>45990</v>
      </c>
      <c r="C1049" s="1" t="s">
        <v>22</v>
      </c>
      <c r="D1049" s="1" t="s">
        <v>17</v>
      </c>
      <c r="E1049" s="1" t="s">
        <v>18</v>
      </c>
      <c r="F1049" s="1">
        <v>280</v>
      </c>
      <c r="G1049" s="1">
        <v>30.62</v>
      </c>
      <c r="H1049" s="1">
        <v>8573.6</v>
      </c>
      <c r="I1049" s="1">
        <v>5218.1099999999997</v>
      </c>
      <c r="J1049" s="1">
        <v>3355.49</v>
      </c>
      <c r="K1049" s="8" t="str">
        <f t="shared" si="16"/>
        <v>Nov</v>
      </c>
    </row>
    <row r="1050" spans="1:11">
      <c r="A1050" s="1" t="s">
        <v>1074</v>
      </c>
      <c r="B1050" s="2">
        <v>46008</v>
      </c>
      <c r="C1050" s="1" t="s">
        <v>12</v>
      </c>
      <c r="D1050" s="1" t="s">
        <v>29</v>
      </c>
      <c r="E1050" s="1" t="s">
        <v>33</v>
      </c>
      <c r="F1050" s="1">
        <v>227</v>
      </c>
      <c r="G1050" s="1">
        <v>15.87</v>
      </c>
      <c r="H1050" s="1">
        <v>3602.49</v>
      </c>
      <c r="I1050" s="1">
        <v>2641.75</v>
      </c>
      <c r="J1050" s="1">
        <v>960.74</v>
      </c>
      <c r="K1050" s="8" t="str">
        <f t="shared" si="16"/>
        <v>Dec</v>
      </c>
    </row>
    <row r="1051" spans="1:11">
      <c r="A1051" s="1" t="s">
        <v>1075</v>
      </c>
      <c r="B1051" s="2">
        <v>45804</v>
      </c>
      <c r="C1051" s="1" t="s">
        <v>28</v>
      </c>
      <c r="D1051" s="1" t="s">
        <v>13</v>
      </c>
      <c r="E1051" s="1" t="s">
        <v>18</v>
      </c>
      <c r="F1051" s="1">
        <v>216</v>
      </c>
      <c r="G1051" s="1">
        <v>29.75</v>
      </c>
      <c r="H1051" s="1">
        <v>6426</v>
      </c>
      <c r="I1051" s="1">
        <v>4369.45</v>
      </c>
      <c r="J1051" s="1">
        <v>2056.5500000000002</v>
      </c>
      <c r="K1051" s="8" t="str">
        <f t="shared" si="16"/>
        <v>May</v>
      </c>
    </row>
    <row r="1052" spans="1:11">
      <c r="A1052" s="1" t="s">
        <v>1076</v>
      </c>
      <c r="B1052" s="2">
        <v>45730</v>
      </c>
      <c r="C1052" s="1" t="s">
        <v>28</v>
      </c>
      <c r="D1052" s="1" t="s">
        <v>13</v>
      </c>
      <c r="E1052" s="1" t="s">
        <v>26</v>
      </c>
      <c r="F1052" s="1">
        <v>272</v>
      </c>
      <c r="G1052" s="1">
        <v>33.32</v>
      </c>
      <c r="H1052" s="1">
        <v>9063.0400000000009</v>
      </c>
      <c r="I1052" s="1">
        <v>7236.95</v>
      </c>
      <c r="J1052" s="1">
        <v>1826.09</v>
      </c>
      <c r="K1052" s="8" t="str">
        <f t="shared" si="16"/>
        <v>Mar</v>
      </c>
    </row>
    <row r="1053" spans="1:11">
      <c r="A1053" s="1" t="s">
        <v>1077</v>
      </c>
      <c r="B1053" s="2">
        <v>45781</v>
      </c>
      <c r="C1053" s="1" t="s">
        <v>31</v>
      </c>
      <c r="D1053" s="1" t="s">
        <v>17</v>
      </c>
      <c r="E1053" s="1" t="s">
        <v>18</v>
      </c>
      <c r="F1053" s="1">
        <v>48</v>
      </c>
      <c r="G1053" s="1">
        <v>31.45</v>
      </c>
      <c r="H1053" s="1">
        <v>1509.6</v>
      </c>
      <c r="I1053" s="1">
        <v>1189.1400000000001</v>
      </c>
      <c r="J1053" s="1">
        <v>320.45999999999998</v>
      </c>
      <c r="K1053" s="8" t="str">
        <f t="shared" si="16"/>
        <v>May</v>
      </c>
    </row>
    <row r="1054" spans="1:11">
      <c r="A1054" s="1" t="s">
        <v>1078</v>
      </c>
      <c r="B1054" s="2">
        <v>45901</v>
      </c>
      <c r="C1054" s="1" t="s">
        <v>22</v>
      </c>
      <c r="D1054" s="1" t="s">
        <v>29</v>
      </c>
      <c r="E1054" s="1" t="s">
        <v>33</v>
      </c>
      <c r="F1054" s="1">
        <v>180</v>
      </c>
      <c r="G1054" s="1">
        <v>19.37</v>
      </c>
      <c r="H1054" s="1">
        <v>3486.6</v>
      </c>
      <c r="I1054" s="1">
        <v>2348.89</v>
      </c>
      <c r="J1054" s="1">
        <v>1137.71</v>
      </c>
      <c r="K1054" s="8" t="str">
        <f t="shared" si="16"/>
        <v>Sep</v>
      </c>
    </row>
    <row r="1055" spans="1:11">
      <c r="A1055" s="1" t="s">
        <v>1079</v>
      </c>
      <c r="B1055" s="2">
        <v>45748</v>
      </c>
      <c r="C1055" s="1" t="s">
        <v>12</v>
      </c>
      <c r="D1055" s="1" t="s">
        <v>13</v>
      </c>
      <c r="E1055" s="1" t="s">
        <v>18</v>
      </c>
      <c r="F1055" s="1">
        <v>97</v>
      </c>
      <c r="G1055" s="1">
        <v>12.66</v>
      </c>
      <c r="H1055" s="1">
        <v>1228.02</v>
      </c>
      <c r="I1055" s="1">
        <v>955.93</v>
      </c>
      <c r="J1055" s="1">
        <v>272.08999999999997</v>
      </c>
      <c r="K1055" s="8" t="str">
        <f t="shared" si="16"/>
        <v>Apr</v>
      </c>
    </row>
    <row r="1056" spans="1:11">
      <c r="A1056" s="1" t="s">
        <v>1080</v>
      </c>
      <c r="B1056" s="2">
        <v>45830</v>
      </c>
      <c r="C1056" s="1" t="s">
        <v>12</v>
      </c>
      <c r="D1056" s="1" t="s">
        <v>13</v>
      </c>
      <c r="E1056" s="1" t="s">
        <v>14</v>
      </c>
      <c r="F1056" s="1">
        <v>62</v>
      </c>
      <c r="G1056" s="1">
        <v>25.74</v>
      </c>
      <c r="H1056" s="1">
        <v>1595.88</v>
      </c>
      <c r="I1056" s="1">
        <v>1003.34</v>
      </c>
      <c r="J1056" s="1">
        <v>592.54</v>
      </c>
      <c r="K1056" s="8" t="str">
        <f t="shared" si="16"/>
        <v>Jun</v>
      </c>
    </row>
    <row r="1057" spans="1:11">
      <c r="A1057" s="1" t="s">
        <v>1081</v>
      </c>
      <c r="B1057" s="2">
        <v>45805</v>
      </c>
      <c r="C1057" s="1" t="s">
        <v>16</v>
      </c>
      <c r="D1057" s="1" t="s">
        <v>17</v>
      </c>
      <c r="E1057" s="1" t="s">
        <v>20</v>
      </c>
      <c r="F1057" s="1">
        <v>164</v>
      </c>
      <c r="G1057" s="1">
        <v>12.46</v>
      </c>
      <c r="H1057" s="1">
        <v>2043.44</v>
      </c>
      <c r="I1057" s="1">
        <v>1310.23</v>
      </c>
      <c r="J1057" s="1">
        <v>733.21</v>
      </c>
      <c r="K1057" s="8" t="str">
        <f t="shared" si="16"/>
        <v>May</v>
      </c>
    </row>
    <row r="1058" spans="1:11">
      <c r="A1058" s="1" t="s">
        <v>1082</v>
      </c>
      <c r="B1058" s="2">
        <v>45852</v>
      </c>
      <c r="C1058" s="1" t="s">
        <v>28</v>
      </c>
      <c r="D1058" s="1" t="s">
        <v>13</v>
      </c>
      <c r="E1058" s="1" t="s">
        <v>26</v>
      </c>
      <c r="F1058" s="1">
        <v>248</v>
      </c>
      <c r="G1058" s="1">
        <v>10.38</v>
      </c>
      <c r="H1058" s="1">
        <v>2574.2399999999998</v>
      </c>
      <c r="I1058" s="1">
        <v>1988.1</v>
      </c>
      <c r="J1058" s="1">
        <v>586.14</v>
      </c>
      <c r="K1058" s="8" t="str">
        <f t="shared" si="16"/>
        <v>Jul</v>
      </c>
    </row>
    <row r="1059" spans="1:11">
      <c r="A1059" s="1" t="s">
        <v>1083</v>
      </c>
      <c r="B1059" s="2">
        <v>45774</v>
      </c>
      <c r="C1059" s="1" t="s">
        <v>16</v>
      </c>
      <c r="D1059" s="1" t="s">
        <v>17</v>
      </c>
      <c r="E1059" s="1" t="s">
        <v>33</v>
      </c>
      <c r="F1059" s="1">
        <v>216</v>
      </c>
      <c r="G1059" s="1">
        <v>17.59</v>
      </c>
      <c r="H1059" s="1">
        <v>3799.44</v>
      </c>
      <c r="I1059" s="1">
        <v>2298.12</v>
      </c>
      <c r="J1059" s="1">
        <v>1501.32</v>
      </c>
      <c r="K1059" s="8" t="str">
        <f t="shared" si="16"/>
        <v>Apr</v>
      </c>
    </row>
    <row r="1060" spans="1:11">
      <c r="A1060" s="1" t="s">
        <v>1084</v>
      </c>
      <c r="B1060" s="2">
        <v>45872</v>
      </c>
      <c r="C1060" s="1" t="s">
        <v>22</v>
      </c>
      <c r="D1060" s="1" t="s">
        <v>13</v>
      </c>
      <c r="E1060" s="1" t="s">
        <v>14</v>
      </c>
      <c r="F1060" s="1">
        <v>268</v>
      </c>
      <c r="G1060" s="1">
        <v>12.71</v>
      </c>
      <c r="H1060" s="1">
        <v>3406.28</v>
      </c>
      <c r="I1060" s="1">
        <v>2349.25</v>
      </c>
      <c r="J1060" s="1">
        <v>1057.03</v>
      </c>
      <c r="K1060" s="8" t="str">
        <f t="shared" si="16"/>
        <v>Aug</v>
      </c>
    </row>
    <row r="1061" spans="1:11">
      <c r="A1061" s="1" t="s">
        <v>1085</v>
      </c>
      <c r="B1061" s="2">
        <v>45951</v>
      </c>
      <c r="C1061" s="1" t="s">
        <v>12</v>
      </c>
      <c r="D1061" s="1" t="s">
        <v>13</v>
      </c>
      <c r="E1061" s="1" t="s">
        <v>33</v>
      </c>
      <c r="F1061" s="1">
        <v>26</v>
      </c>
      <c r="G1061" s="1">
        <v>36.6</v>
      </c>
      <c r="H1061" s="1">
        <v>951.6</v>
      </c>
      <c r="I1061" s="1">
        <v>594.67999999999995</v>
      </c>
      <c r="J1061" s="1">
        <v>356.92</v>
      </c>
      <c r="K1061" s="8" t="str">
        <f t="shared" si="16"/>
        <v>Oct</v>
      </c>
    </row>
    <row r="1062" spans="1:11">
      <c r="A1062" s="1" t="s">
        <v>1086</v>
      </c>
      <c r="B1062" s="2">
        <v>46022</v>
      </c>
      <c r="C1062" s="1" t="s">
        <v>22</v>
      </c>
      <c r="D1062" s="1" t="s">
        <v>29</v>
      </c>
      <c r="E1062" s="1" t="s">
        <v>18</v>
      </c>
      <c r="F1062" s="1">
        <v>258</v>
      </c>
      <c r="G1062" s="1">
        <v>26.49</v>
      </c>
      <c r="H1062" s="1">
        <v>6834.42</v>
      </c>
      <c r="I1062" s="1">
        <v>5211.7299999999996</v>
      </c>
      <c r="J1062" s="1">
        <v>1622.69</v>
      </c>
      <c r="K1062" s="8" t="str">
        <f t="shared" si="16"/>
        <v>Dec</v>
      </c>
    </row>
    <row r="1063" spans="1:11">
      <c r="A1063" s="1" t="s">
        <v>1087</v>
      </c>
      <c r="B1063" s="2">
        <v>45794</v>
      </c>
      <c r="C1063" s="1" t="s">
        <v>36</v>
      </c>
      <c r="D1063" s="1" t="s">
        <v>29</v>
      </c>
      <c r="E1063" s="1" t="s">
        <v>33</v>
      </c>
      <c r="F1063" s="1">
        <v>187</v>
      </c>
      <c r="G1063" s="1">
        <v>21.97</v>
      </c>
      <c r="H1063" s="1">
        <v>4108.3900000000003</v>
      </c>
      <c r="I1063" s="1">
        <v>2622.21</v>
      </c>
      <c r="J1063" s="1">
        <v>1486.18</v>
      </c>
      <c r="K1063" s="8" t="str">
        <f t="shared" si="16"/>
        <v>May</v>
      </c>
    </row>
    <row r="1064" spans="1:11">
      <c r="A1064" s="1" t="s">
        <v>1088</v>
      </c>
      <c r="B1064" s="2">
        <v>45979</v>
      </c>
      <c r="C1064" s="1" t="s">
        <v>31</v>
      </c>
      <c r="D1064" s="1" t="s">
        <v>29</v>
      </c>
      <c r="E1064" s="1" t="s">
        <v>33</v>
      </c>
      <c r="F1064" s="1">
        <v>181</v>
      </c>
      <c r="G1064" s="1">
        <v>27.98</v>
      </c>
      <c r="H1064" s="1">
        <v>5064.38</v>
      </c>
      <c r="I1064" s="1">
        <v>3972.41</v>
      </c>
      <c r="J1064" s="1">
        <v>1091.97</v>
      </c>
      <c r="K1064" s="8" t="str">
        <f t="shared" si="16"/>
        <v>Nov</v>
      </c>
    </row>
    <row r="1065" spans="1:11">
      <c r="A1065" s="1" t="s">
        <v>1089</v>
      </c>
      <c r="B1065" s="2">
        <v>45824</v>
      </c>
      <c r="C1065" s="1" t="s">
        <v>16</v>
      </c>
      <c r="D1065" s="1" t="s">
        <v>13</v>
      </c>
      <c r="E1065" s="1" t="s">
        <v>14</v>
      </c>
      <c r="F1065" s="1">
        <v>34</v>
      </c>
      <c r="G1065" s="1">
        <v>37.840000000000003</v>
      </c>
      <c r="H1065" s="1">
        <v>1286.56</v>
      </c>
      <c r="I1065" s="1">
        <v>867.43</v>
      </c>
      <c r="J1065" s="1">
        <v>419.13</v>
      </c>
      <c r="K1065" s="8" t="str">
        <f t="shared" si="16"/>
        <v>Jun</v>
      </c>
    </row>
    <row r="1066" spans="1:11">
      <c r="A1066" s="1" t="s">
        <v>1090</v>
      </c>
      <c r="B1066" s="2">
        <v>45788</v>
      </c>
      <c r="C1066" s="1" t="s">
        <v>12</v>
      </c>
      <c r="D1066" s="1" t="s">
        <v>17</v>
      </c>
      <c r="E1066" s="1" t="s">
        <v>18</v>
      </c>
      <c r="F1066" s="1">
        <v>143</v>
      </c>
      <c r="G1066" s="1">
        <v>29.88</v>
      </c>
      <c r="H1066" s="1">
        <v>4272.84</v>
      </c>
      <c r="I1066" s="1">
        <v>3364.71</v>
      </c>
      <c r="J1066" s="1">
        <v>908.13</v>
      </c>
      <c r="K1066" s="8" t="str">
        <f t="shared" si="16"/>
        <v>May</v>
      </c>
    </row>
    <row r="1067" spans="1:11">
      <c r="A1067" s="1" t="s">
        <v>1091</v>
      </c>
      <c r="B1067" s="2">
        <v>45894</v>
      </c>
      <c r="C1067" s="1" t="s">
        <v>16</v>
      </c>
      <c r="D1067" s="1" t="s">
        <v>29</v>
      </c>
      <c r="E1067" s="1" t="s">
        <v>23</v>
      </c>
      <c r="F1067" s="1">
        <v>249</v>
      </c>
      <c r="G1067" s="1">
        <v>32.79</v>
      </c>
      <c r="H1067" s="1">
        <v>8164.71</v>
      </c>
      <c r="I1067" s="1">
        <v>5417.62</v>
      </c>
      <c r="J1067" s="1">
        <v>2747.09</v>
      </c>
      <c r="K1067" s="8" t="str">
        <f t="shared" si="16"/>
        <v>Aug</v>
      </c>
    </row>
    <row r="1068" spans="1:11">
      <c r="A1068" s="1" t="s">
        <v>1092</v>
      </c>
      <c r="B1068" s="2">
        <v>45747</v>
      </c>
      <c r="C1068" s="1" t="s">
        <v>36</v>
      </c>
      <c r="D1068" s="1" t="s">
        <v>13</v>
      </c>
      <c r="E1068" s="1" t="s">
        <v>20</v>
      </c>
      <c r="F1068" s="1">
        <v>68</v>
      </c>
      <c r="G1068" s="1">
        <v>17.45</v>
      </c>
      <c r="H1068" s="1">
        <v>1186.5999999999999</v>
      </c>
      <c r="I1068" s="1">
        <v>874.21</v>
      </c>
      <c r="J1068" s="1">
        <v>312.39</v>
      </c>
      <c r="K1068" s="8" t="str">
        <f t="shared" si="16"/>
        <v>Mar</v>
      </c>
    </row>
    <row r="1069" spans="1:11">
      <c r="A1069" s="1" t="s">
        <v>1093</v>
      </c>
      <c r="B1069" s="2">
        <v>45727</v>
      </c>
      <c r="C1069" s="1" t="s">
        <v>31</v>
      </c>
      <c r="D1069" s="1" t="s">
        <v>29</v>
      </c>
      <c r="E1069" s="1" t="s">
        <v>18</v>
      </c>
      <c r="F1069" s="1">
        <v>117</v>
      </c>
      <c r="G1069" s="1">
        <v>24.79</v>
      </c>
      <c r="H1069" s="1">
        <v>2900.43</v>
      </c>
      <c r="I1069" s="1">
        <v>1934.2</v>
      </c>
      <c r="J1069" s="1">
        <v>966.23</v>
      </c>
      <c r="K1069" s="8" t="str">
        <f t="shared" si="16"/>
        <v>Mar</v>
      </c>
    </row>
    <row r="1070" spans="1:11">
      <c r="A1070" s="1" t="s">
        <v>1094</v>
      </c>
      <c r="B1070" s="2">
        <v>45904</v>
      </c>
      <c r="C1070" s="1" t="s">
        <v>16</v>
      </c>
      <c r="D1070" s="1" t="s">
        <v>13</v>
      </c>
      <c r="E1070" s="1" t="s">
        <v>18</v>
      </c>
      <c r="F1070" s="1">
        <v>33</v>
      </c>
      <c r="G1070" s="1">
        <v>28.95</v>
      </c>
      <c r="H1070" s="1">
        <v>955.35</v>
      </c>
      <c r="I1070" s="1">
        <v>606.35</v>
      </c>
      <c r="J1070" s="1">
        <v>349</v>
      </c>
      <c r="K1070" s="8" t="str">
        <f t="shared" si="16"/>
        <v>Sep</v>
      </c>
    </row>
    <row r="1071" spans="1:11">
      <c r="A1071" s="1" t="s">
        <v>1095</v>
      </c>
      <c r="B1071" s="2">
        <v>45696</v>
      </c>
      <c r="C1071" s="1" t="s">
        <v>28</v>
      </c>
      <c r="D1071" s="1" t="s">
        <v>29</v>
      </c>
      <c r="E1071" s="1" t="s">
        <v>18</v>
      </c>
      <c r="F1071" s="1">
        <v>44</v>
      </c>
      <c r="G1071" s="1">
        <v>23.58</v>
      </c>
      <c r="H1071" s="1">
        <v>1037.52</v>
      </c>
      <c r="I1071" s="1">
        <v>626.21</v>
      </c>
      <c r="J1071" s="1">
        <v>411.31</v>
      </c>
      <c r="K1071" s="8" t="str">
        <f t="shared" si="16"/>
        <v>Feb</v>
      </c>
    </row>
    <row r="1072" spans="1:11">
      <c r="A1072" s="1" t="s">
        <v>1096</v>
      </c>
      <c r="B1072" s="2">
        <v>45916</v>
      </c>
      <c r="C1072" s="1" t="s">
        <v>16</v>
      </c>
      <c r="D1072" s="1" t="s">
        <v>29</v>
      </c>
      <c r="E1072" s="1" t="s">
        <v>18</v>
      </c>
      <c r="F1072" s="1">
        <v>54</v>
      </c>
      <c r="G1072" s="1">
        <v>22.41</v>
      </c>
      <c r="H1072" s="1">
        <v>1210.1400000000001</v>
      </c>
      <c r="I1072" s="1">
        <v>931.75</v>
      </c>
      <c r="J1072" s="1">
        <v>278.39</v>
      </c>
      <c r="K1072" s="8" t="str">
        <f t="shared" si="16"/>
        <v>Sep</v>
      </c>
    </row>
    <row r="1073" spans="1:11">
      <c r="A1073" s="1" t="s">
        <v>1097</v>
      </c>
      <c r="B1073" s="2">
        <v>45779</v>
      </c>
      <c r="C1073" s="1" t="s">
        <v>28</v>
      </c>
      <c r="D1073" s="1" t="s">
        <v>13</v>
      </c>
      <c r="E1073" s="1" t="s">
        <v>33</v>
      </c>
      <c r="F1073" s="1">
        <v>183</v>
      </c>
      <c r="G1073" s="1">
        <v>19.149999999999999</v>
      </c>
      <c r="H1073" s="1">
        <v>3504.45</v>
      </c>
      <c r="I1073" s="1">
        <v>2447.15</v>
      </c>
      <c r="J1073" s="1">
        <v>1057.3</v>
      </c>
      <c r="K1073" s="8" t="str">
        <f t="shared" si="16"/>
        <v>May</v>
      </c>
    </row>
    <row r="1074" spans="1:11">
      <c r="A1074" s="1" t="s">
        <v>1098</v>
      </c>
      <c r="B1074" s="2">
        <v>45916</v>
      </c>
      <c r="C1074" s="1" t="s">
        <v>28</v>
      </c>
      <c r="D1074" s="1" t="s">
        <v>13</v>
      </c>
      <c r="E1074" s="1" t="s">
        <v>20</v>
      </c>
      <c r="F1074" s="1">
        <v>14</v>
      </c>
      <c r="G1074" s="1">
        <v>19.690000000000001</v>
      </c>
      <c r="H1074" s="1">
        <v>275.66000000000003</v>
      </c>
      <c r="I1074" s="1">
        <v>198.85</v>
      </c>
      <c r="J1074" s="1">
        <v>76.81</v>
      </c>
      <c r="K1074" s="8" t="str">
        <f t="shared" si="16"/>
        <v>Sep</v>
      </c>
    </row>
    <row r="1075" spans="1:11">
      <c r="A1075" s="1" t="s">
        <v>1099</v>
      </c>
      <c r="B1075" s="2">
        <v>45829</v>
      </c>
      <c r="C1075" s="1" t="s">
        <v>28</v>
      </c>
      <c r="D1075" s="1" t="s">
        <v>17</v>
      </c>
      <c r="E1075" s="1" t="s">
        <v>33</v>
      </c>
      <c r="F1075" s="1">
        <v>16</v>
      </c>
      <c r="G1075" s="1">
        <v>10.8</v>
      </c>
      <c r="H1075" s="1">
        <v>172.8</v>
      </c>
      <c r="I1075" s="1">
        <v>132.79</v>
      </c>
      <c r="J1075" s="1">
        <v>40.01</v>
      </c>
      <c r="K1075" s="8" t="str">
        <f t="shared" si="16"/>
        <v>Jun</v>
      </c>
    </row>
    <row r="1076" spans="1:11">
      <c r="A1076" s="1" t="s">
        <v>1100</v>
      </c>
      <c r="B1076" s="2">
        <v>45910</v>
      </c>
      <c r="C1076" s="1" t="s">
        <v>12</v>
      </c>
      <c r="D1076" s="1" t="s">
        <v>17</v>
      </c>
      <c r="E1076" s="1" t="s">
        <v>26</v>
      </c>
      <c r="F1076" s="1">
        <v>201</v>
      </c>
      <c r="G1076" s="1">
        <v>35.11</v>
      </c>
      <c r="H1076" s="1">
        <v>7057.11</v>
      </c>
      <c r="I1076" s="1">
        <v>5061.18</v>
      </c>
      <c r="J1076" s="1">
        <v>1995.93</v>
      </c>
      <c r="K1076" s="8" t="str">
        <f t="shared" si="16"/>
        <v>Sep</v>
      </c>
    </row>
    <row r="1077" spans="1:11">
      <c r="A1077" s="1" t="s">
        <v>1101</v>
      </c>
      <c r="B1077" s="2">
        <v>45854</v>
      </c>
      <c r="C1077" s="1" t="s">
        <v>28</v>
      </c>
      <c r="D1077" s="1" t="s">
        <v>29</v>
      </c>
      <c r="E1077" s="1" t="s">
        <v>23</v>
      </c>
      <c r="F1077" s="1">
        <v>143</v>
      </c>
      <c r="G1077" s="1">
        <v>22.28</v>
      </c>
      <c r="H1077" s="1">
        <v>3186.04</v>
      </c>
      <c r="I1077" s="1">
        <v>2522.54</v>
      </c>
      <c r="J1077" s="1">
        <v>663.5</v>
      </c>
      <c r="K1077" s="8" t="str">
        <f t="shared" si="16"/>
        <v>Jul</v>
      </c>
    </row>
    <row r="1078" spans="1:11">
      <c r="A1078" s="1" t="s">
        <v>1102</v>
      </c>
      <c r="B1078" s="2">
        <v>45850</v>
      </c>
      <c r="C1078" s="1" t="s">
        <v>16</v>
      </c>
      <c r="D1078" s="1" t="s">
        <v>17</v>
      </c>
      <c r="E1078" s="1" t="s">
        <v>33</v>
      </c>
      <c r="F1078" s="1">
        <v>63</v>
      </c>
      <c r="G1078" s="1">
        <v>24.76</v>
      </c>
      <c r="H1078" s="1">
        <v>1559.88</v>
      </c>
      <c r="I1078" s="1">
        <v>1062.0899999999999</v>
      </c>
      <c r="J1078" s="1">
        <v>497.79</v>
      </c>
      <c r="K1078" s="8" t="str">
        <f t="shared" si="16"/>
        <v>Jul</v>
      </c>
    </row>
    <row r="1079" spans="1:11">
      <c r="A1079" s="1" t="s">
        <v>1103</v>
      </c>
      <c r="B1079" s="2">
        <v>45879</v>
      </c>
      <c r="C1079" s="1" t="s">
        <v>12</v>
      </c>
      <c r="D1079" s="1" t="s">
        <v>17</v>
      </c>
      <c r="E1079" s="1" t="s">
        <v>14</v>
      </c>
      <c r="F1079" s="1">
        <v>268</v>
      </c>
      <c r="G1079" s="1">
        <v>27.95</v>
      </c>
      <c r="H1079" s="1">
        <v>7490.6</v>
      </c>
      <c r="I1079" s="1">
        <v>4667.84</v>
      </c>
      <c r="J1079" s="1">
        <v>2822.76</v>
      </c>
      <c r="K1079" s="8" t="str">
        <f t="shared" si="16"/>
        <v>Aug</v>
      </c>
    </row>
    <row r="1080" spans="1:11">
      <c r="A1080" s="1" t="s">
        <v>1104</v>
      </c>
      <c r="B1080" s="2">
        <v>45681</v>
      </c>
      <c r="C1080" s="1" t="s">
        <v>16</v>
      </c>
      <c r="D1080" s="1" t="s">
        <v>17</v>
      </c>
      <c r="E1080" s="1" t="s">
        <v>20</v>
      </c>
      <c r="F1080" s="1">
        <v>225</v>
      </c>
      <c r="G1080" s="1">
        <v>29.95</v>
      </c>
      <c r="H1080" s="1">
        <v>6738.75</v>
      </c>
      <c r="I1080" s="1">
        <v>4415.9799999999996</v>
      </c>
      <c r="J1080" s="1">
        <v>2322.77</v>
      </c>
      <c r="K1080" s="8" t="str">
        <f t="shared" si="16"/>
        <v>Jan</v>
      </c>
    </row>
    <row r="1081" spans="1:11">
      <c r="A1081" s="1" t="s">
        <v>1105</v>
      </c>
      <c r="B1081" s="2">
        <v>45837</v>
      </c>
      <c r="C1081" s="1" t="s">
        <v>12</v>
      </c>
      <c r="D1081" s="1" t="s">
        <v>29</v>
      </c>
      <c r="E1081" s="1" t="s">
        <v>26</v>
      </c>
      <c r="F1081" s="1">
        <v>249</v>
      </c>
      <c r="G1081" s="1">
        <v>21.37</v>
      </c>
      <c r="H1081" s="1">
        <v>5321.13</v>
      </c>
      <c r="I1081" s="1">
        <v>3507.65</v>
      </c>
      <c r="J1081" s="1">
        <v>1813.48</v>
      </c>
      <c r="K1081" s="8" t="str">
        <f t="shared" si="16"/>
        <v>Jun</v>
      </c>
    </row>
    <row r="1082" spans="1:11">
      <c r="A1082" s="1" t="s">
        <v>1106</v>
      </c>
      <c r="B1082" s="2">
        <v>45827</v>
      </c>
      <c r="C1082" s="1" t="s">
        <v>12</v>
      </c>
      <c r="D1082" s="1" t="s">
        <v>17</v>
      </c>
      <c r="E1082" s="1" t="s">
        <v>23</v>
      </c>
      <c r="F1082" s="1">
        <v>167</v>
      </c>
      <c r="G1082" s="1">
        <v>26.29</v>
      </c>
      <c r="H1082" s="1">
        <v>4390.43</v>
      </c>
      <c r="I1082" s="1">
        <v>3449.42</v>
      </c>
      <c r="J1082" s="1">
        <v>941.01</v>
      </c>
      <c r="K1082" s="8" t="str">
        <f t="shared" si="16"/>
        <v>Jun</v>
      </c>
    </row>
    <row r="1083" spans="1:11">
      <c r="A1083" s="1" t="s">
        <v>1107</v>
      </c>
      <c r="B1083" s="2">
        <v>45995</v>
      </c>
      <c r="C1083" s="1" t="s">
        <v>36</v>
      </c>
      <c r="D1083" s="1" t="s">
        <v>29</v>
      </c>
      <c r="E1083" s="1" t="s">
        <v>23</v>
      </c>
      <c r="F1083" s="1">
        <v>24</v>
      </c>
      <c r="G1083" s="1">
        <v>22.91</v>
      </c>
      <c r="H1083" s="1">
        <v>549.84</v>
      </c>
      <c r="I1083" s="1">
        <v>426.98</v>
      </c>
      <c r="J1083" s="1">
        <v>122.86</v>
      </c>
      <c r="K1083" s="8" t="str">
        <f t="shared" si="16"/>
        <v>Dec</v>
      </c>
    </row>
    <row r="1084" spans="1:11">
      <c r="A1084" s="1" t="s">
        <v>1108</v>
      </c>
      <c r="B1084" s="2">
        <v>45732</v>
      </c>
      <c r="C1084" s="1" t="s">
        <v>16</v>
      </c>
      <c r="D1084" s="1" t="s">
        <v>29</v>
      </c>
      <c r="E1084" s="1" t="s">
        <v>14</v>
      </c>
      <c r="F1084" s="1">
        <v>254</v>
      </c>
      <c r="G1084" s="1">
        <v>19.12</v>
      </c>
      <c r="H1084" s="1">
        <v>4856.4799999999996</v>
      </c>
      <c r="I1084" s="1">
        <v>3790.46</v>
      </c>
      <c r="J1084" s="1">
        <v>1066.02</v>
      </c>
      <c r="K1084" s="8" t="str">
        <f t="shared" si="16"/>
        <v>Mar</v>
      </c>
    </row>
    <row r="1085" spans="1:11">
      <c r="A1085" s="1" t="s">
        <v>1109</v>
      </c>
      <c r="B1085" s="2">
        <v>45999</v>
      </c>
      <c r="C1085" s="1" t="s">
        <v>36</v>
      </c>
      <c r="D1085" s="1" t="s">
        <v>13</v>
      </c>
      <c r="E1085" s="1" t="s">
        <v>20</v>
      </c>
      <c r="F1085" s="1">
        <v>17</v>
      </c>
      <c r="G1085" s="1">
        <v>14.43</v>
      </c>
      <c r="H1085" s="1">
        <v>245.31</v>
      </c>
      <c r="I1085" s="1">
        <v>182.01</v>
      </c>
      <c r="J1085" s="1">
        <v>63.3</v>
      </c>
      <c r="K1085" s="8" t="str">
        <f t="shared" si="16"/>
        <v>Dec</v>
      </c>
    </row>
    <row r="1086" spans="1:11">
      <c r="A1086" s="1" t="s">
        <v>1110</v>
      </c>
      <c r="B1086" s="2">
        <v>45673</v>
      </c>
      <c r="C1086" s="1" t="s">
        <v>28</v>
      </c>
      <c r="D1086" s="1" t="s">
        <v>13</v>
      </c>
      <c r="E1086" s="1" t="s">
        <v>33</v>
      </c>
      <c r="F1086" s="1">
        <v>94</v>
      </c>
      <c r="G1086" s="1">
        <v>34.01</v>
      </c>
      <c r="H1086" s="1">
        <v>3196.94</v>
      </c>
      <c r="I1086" s="1">
        <v>2070.4</v>
      </c>
      <c r="J1086" s="1">
        <v>1126.54</v>
      </c>
      <c r="K1086" s="8" t="str">
        <f t="shared" si="16"/>
        <v>Jan</v>
      </c>
    </row>
    <row r="1087" spans="1:11">
      <c r="A1087" s="1" t="s">
        <v>1111</v>
      </c>
      <c r="B1087" s="2">
        <v>46018</v>
      </c>
      <c r="C1087" s="1" t="s">
        <v>12</v>
      </c>
      <c r="D1087" s="1" t="s">
        <v>29</v>
      </c>
      <c r="E1087" s="1" t="s">
        <v>20</v>
      </c>
      <c r="F1087" s="1">
        <v>280</v>
      </c>
      <c r="G1087" s="1">
        <v>39.380000000000003</v>
      </c>
      <c r="H1087" s="1">
        <v>11026.4</v>
      </c>
      <c r="I1087" s="1">
        <v>8313.25</v>
      </c>
      <c r="J1087" s="1">
        <v>2713.15</v>
      </c>
      <c r="K1087" s="8" t="str">
        <f t="shared" si="16"/>
        <v>Dec</v>
      </c>
    </row>
    <row r="1088" spans="1:11">
      <c r="A1088" s="1" t="s">
        <v>1112</v>
      </c>
      <c r="B1088" s="2">
        <v>45709</v>
      </c>
      <c r="C1088" s="1" t="s">
        <v>31</v>
      </c>
      <c r="D1088" s="1" t="s">
        <v>13</v>
      </c>
      <c r="E1088" s="1" t="s">
        <v>18</v>
      </c>
      <c r="F1088" s="1">
        <v>136</v>
      </c>
      <c r="G1088" s="1">
        <v>23.18</v>
      </c>
      <c r="H1088" s="1">
        <v>3152.48</v>
      </c>
      <c r="I1088" s="1">
        <v>2450.3000000000002</v>
      </c>
      <c r="J1088" s="1">
        <v>702.18</v>
      </c>
      <c r="K1088" s="8" t="str">
        <f t="shared" si="16"/>
        <v>Feb</v>
      </c>
    </row>
    <row r="1089" spans="1:11">
      <c r="A1089" s="1" t="s">
        <v>1113</v>
      </c>
      <c r="B1089" s="2">
        <v>45747</v>
      </c>
      <c r="C1089" s="1" t="s">
        <v>31</v>
      </c>
      <c r="D1089" s="1" t="s">
        <v>13</v>
      </c>
      <c r="E1089" s="1" t="s">
        <v>23</v>
      </c>
      <c r="F1089" s="1">
        <v>295</v>
      </c>
      <c r="G1089" s="1">
        <v>38.86</v>
      </c>
      <c r="H1089" s="1">
        <v>11463.7</v>
      </c>
      <c r="I1089" s="1">
        <v>7540.58</v>
      </c>
      <c r="J1089" s="1">
        <v>3923.12</v>
      </c>
      <c r="K1089" s="8" t="str">
        <f t="shared" si="16"/>
        <v>Mar</v>
      </c>
    </row>
    <row r="1090" spans="1:11">
      <c r="A1090" s="1" t="s">
        <v>1114</v>
      </c>
      <c r="B1090" s="2">
        <v>45796</v>
      </c>
      <c r="C1090" s="1" t="s">
        <v>16</v>
      </c>
      <c r="D1090" s="1" t="s">
        <v>17</v>
      </c>
      <c r="E1090" s="1" t="s">
        <v>23</v>
      </c>
      <c r="F1090" s="1">
        <v>262</v>
      </c>
      <c r="G1090" s="1">
        <v>11.57</v>
      </c>
      <c r="H1090" s="1">
        <v>3031.34</v>
      </c>
      <c r="I1090" s="1">
        <v>1892.88</v>
      </c>
      <c r="J1090" s="1">
        <v>1138.46</v>
      </c>
      <c r="K1090" s="8" t="str">
        <f t="shared" ref="K1090:K1153" si="17">TEXT(B1090,"mmm")</f>
        <v>May</v>
      </c>
    </row>
    <row r="1091" spans="1:11">
      <c r="A1091" s="1" t="s">
        <v>1115</v>
      </c>
      <c r="B1091" s="2">
        <v>46006</v>
      </c>
      <c r="C1091" s="1" t="s">
        <v>28</v>
      </c>
      <c r="D1091" s="1" t="s">
        <v>13</v>
      </c>
      <c r="E1091" s="1" t="s">
        <v>14</v>
      </c>
      <c r="F1091" s="1">
        <v>42</v>
      </c>
      <c r="G1091" s="1">
        <v>19.79</v>
      </c>
      <c r="H1091" s="1">
        <v>831.18</v>
      </c>
      <c r="I1091" s="1">
        <v>510.53</v>
      </c>
      <c r="J1091" s="1">
        <v>320.64999999999998</v>
      </c>
      <c r="K1091" s="8" t="str">
        <f t="shared" si="17"/>
        <v>Dec</v>
      </c>
    </row>
    <row r="1092" spans="1:11">
      <c r="A1092" s="1" t="s">
        <v>1116</v>
      </c>
      <c r="B1092" s="2">
        <v>45935</v>
      </c>
      <c r="C1092" s="1" t="s">
        <v>28</v>
      </c>
      <c r="D1092" s="1" t="s">
        <v>29</v>
      </c>
      <c r="E1092" s="1" t="s">
        <v>20</v>
      </c>
      <c r="F1092" s="1">
        <v>30</v>
      </c>
      <c r="G1092" s="1">
        <v>27.41</v>
      </c>
      <c r="H1092" s="1">
        <v>822.3</v>
      </c>
      <c r="I1092" s="1">
        <v>513.41</v>
      </c>
      <c r="J1092" s="1">
        <v>308.89</v>
      </c>
      <c r="K1092" s="8" t="str">
        <f t="shared" si="17"/>
        <v>Oct</v>
      </c>
    </row>
    <row r="1093" spans="1:11">
      <c r="A1093" s="1" t="s">
        <v>1117</v>
      </c>
      <c r="B1093" s="2">
        <v>45907</v>
      </c>
      <c r="C1093" s="1" t="s">
        <v>31</v>
      </c>
      <c r="D1093" s="1" t="s">
        <v>13</v>
      </c>
      <c r="E1093" s="1" t="s">
        <v>26</v>
      </c>
      <c r="F1093" s="1">
        <v>71</v>
      </c>
      <c r="G1093" s="1">
        <v>16.5</v>
      </c>
      <c r="H1093" s="1">
        <v>1171.5</v>
      </c>
      <c r="I1093" s="1">
        <v>923.04</v>
      </c>
      <c r="J1093" s="1">
        <v>248.46</v>
      </c>
      <c r="K1093" s="8" t="str">
        <f t="shared" si="17"/>
        <v>Sep</v>
      </c>
    </row>
    <row r="1094" spans="1:11">
      <c r="A1094" s="1" t="s">
        <v>1118</v>
      </c>
      <c r="B1094" s="2">
        <v>45685</v>
      </c>
      <c r="C1094" s="1" t="s">
        <v>28</v>
      </c>
      <c r="D1094" s="1" t="s">
        <v>29</v>
      </c>
      <c r="E1094" s="1" t="s">
        <v>23</v>
      </c>
      <c r="F1094" s="1">
        <v>142</v>
      </c>
      <c r="G1094" s="1">
        <v>12.93</v>
      </c>
      <c r="H1094" s="1">
        <v>1836.06</v>
      </c>
      <c r="I1094" s="1">
        <v>1383.08</v>
      </c>
      <c r="J1094" s="1">
        <v>452.98</v>
      </c>
      <c r="K1094" s="8" t="str">
        <f t="shared" si="17"/>
        <v>Jan</v>
      </c>
    </row>
    <row r="1095" spans="1:11">
      <c r="A1095" s="1" t="s">
        <v>1119</v>
      </c>
      <c r="B1095" s="2">
        <v>45825</v>
      </c>
      <c r="C1095" s="1" t="s">
        <v>36</v>
      </c>
      <c r="D1095" s="1" t="s">
        <v>17</v>
      </c>
      <c r="E1095" s="1" t="s">
        <v>33</v>
      </c>
      <c r="F1095" s="1">
        <v>76</v>
      </c>
      <c r="G1095" s="1">
        <v>37.630000000000003</v>
      </c>
      <c r="H1095" s="1">
        <v>2859.88</v>
      </c>
      <c r="I1095" s="1">
        <v>1895.26</v>
      </c>
      <c r="J1095" s="1">
        <v>964.62</v>
      </c>
      <c r="K1095" s="8" t="str">
        <f t="shared" si="17"/>
        <v>Jun</v>
      </c>
    </row>
    <row r="1096" spans="1:11">
      <c r="A1096" s="1" t="s">
        <v>1120</v>
      </c>
      <c r="B1096" s="2">
        <v>45732</v>
      </c>
      <c r="C1096" s="1" t="s">
        <v>12</v>
      </c>
      <c r="D1096" s="1" t="s">
        <v>29</v>
      </c>
      <c r="E1096" s="1" t="s">
        <v>20</v>
      </c>
      <c r="F1096" s="1">
        <v>300</v>
      </c>
      <c r="G1096" s="1">
        <v>23.44</v>
      </c>
      <c r="H1096" s="1">
        <v>7032</v>
      </c>
      <c r="I1096" s="1">
        <v>5352.5</v>
      </c>
      <c r="J1096" s="1">
        <v>1679.5</v>
      </c>
      <c r="K1096" s="8" t="str">
        <f t="shared" si="17"/>
        <v>Mar</v>
      </c>
    </row>
    <row r="1097" spans="1:11">
      <c r="A1097" s="1" t="s">
        <v>1121</v>
      </c>
      <c r="B1097" s="2">
        <v>45727</v>
      </c>
      <c r="C1097" s="1" t="s">
        <v>36</v>
      </c>
      <c r="D1097" s="1" t="s">
        <v>13</v>
      </c>
      <c r="E1097" s="1" t="s">
        <v>33</v>
      </c>
      <c r="F1097" s="1">
        <v>200</v>
      </c>
      <c r="G1097" s="1">
        <v>36.68</v>
      </c>
      <c r="H1097" s="1">
        <v>7336</v>
      </c>
      <c r="I1097" s="1">
        <v>4757.08</v>
      </c>
      <c r="J1097" s="1">
        <v>2578.92</v>
      </c>
      <c r="K1097" s="8" t="str">
        <f t="shared" si="17"/>
        <v>Mar</v>
      </c>
    </row>
    <row r="1098" spans="1:11">
      <c r="A1098" s="1" t="s">
        <v>1122</v>
      </c>
      <c r="B1098" s="2">
        <v>45720</v>
      </c>
      <c r="C1098" s="1" t="s">
        <v>31</v>
      </c>
      <c r="D1098" s="1" t="s">
        <v>17</v>
      </c>
      <c r="E1098" s="1" t="s">
        <v>26</v>
      </c>
      <c r="F1098" s="1">
        <v>113</v>
      </c>
      <c r="G1098" s="1">
        <v>33.35</v>
      </c>
      <c r="H1098" s="1">
        <v>3768.55</v>
      </c>
      <c r="I1098" s="1">
        <v>2838.72</v>
      </c>
      <c r="J1098" s="1">
        <v>929.83</v>
      </c>
      <c r="K1098" s="8" t="str">
        <f t="shared" si="17"/>
        <v>Mar</v>
      </c>
    </row>
    <row r="1099" spans="1:11">
      <c r="A1099" s="1" t="s">
        <v>1123</v>
      </c>
      <c r="B1099" s="2">
        <v>45802</v>
      </c>
      <c r="C1099" s="1" t="s">
        <v>28</v>
      </c>
      <c r="D1099" s="1" t="s">
        <v>13</v>
      </c>
      <c r="E1099" s="1" t="s">
        <v>26</v>
      </c>
      <c r="F1099" s="1">
        <v>248</v>
      </c>
      <c r="G1099" s="1">
        <v>34.19</v>
      </c>
      <c r="H1099" s="1">
        <v>8479.1200000000008</v>
      </c>
      <c r="I1099" s="1">
        <v>6003.87</v>
      </c>
      <c r="J1099" s="1">
        <v>2475.25</v>
      </c>
      <c r="K1099" s="8" t="str">
        <f t="shared" si="17"/>
        <v>May</v>
      </c>
    </row>
    <row r="1100" spans="1:11">
      <c r="A1100" s="1" t="s">
        <v>1124</v>
      </c>
      <c r="B1100" s="2">
        <v>45836</v>
      </c>
      <c r="C1100" s="1" t="s">
        <v>16</v>
      </c>
      <c r="D1100" s="1" t="s">
        <v>13</v>
      </c>
      <c r="E1100" s="1" t="s">
        <v>26</v>
      </c>
      <c r="F1100" s="1">
        <v>215</v>
      </c>
      <c r="G1100" s="1">
        <v>36.4</v>
      </c>
      <c r="H1100" s="1">
        <v>7826</v>
      </c>
      <c r="I1100" s="1">
        <v>4948.95</v>
      </c>
      <c r="J1100" s="1">
        <v>2877.05</v>
      </c>
      <c r="K1100" s="8" t="str">
        <f t="shared" si="17"/>
        <v>Jun</v>
      </c>
    </row>
    <row r="1101" spans="1:11">
      <c r="A1101" s="1" t="s">
        <v>1125</v>
      </c>
      <c r="B1101" s="2">
        <v>45999</v>
      </c>
      <c r="C1101" s="1" t="s">
        <v>36</v>
      </c>
      <c r="D1101" s="1" t="s">
        <v>13</v>
      </c>
      <c r="E1101" s="1" t="s">
        <v>18</v>
      </c>
      <c r="F1101" s="1">
        <v>215</v>
      </c>
      <c r="G1101" s="1">
        <v>12.5</v>
      </c>
      <c r="H1101" s="1">
        <v>2687.5</v>
      </c>
      <c r="I1101" s="1">
        <v>1745.18</v>
      </c>
      <c r="J1101" s="1">
        <v>942.32</v>
      </c>
      <c r="K1101" s="8" t="str">
        <f t="shared" si="17"/>
        <v>Dec</v>
      </c>
    </row>
    <row r="1102" spans="1:11">
      <c r="A1102" s="1" t="s">
        <v>1126</v>
      </c>
      <c r="B1102" s="2">
        <v>45978</v>
      </c>
      <c r="C1102" s="1" t="s">
        <v>22</v>
      </c>
      <c r="D1102" s="1" t="s">
        <v>13</v>
      </c>
      <c r="E1102" s="1" t="s">
        <v>23</v>
      </c>
      <c r="F1102" s="1">
        <v>240</v>
      </c>
      <c r="G1102" s="1">
        <v>13.5</v>
      </c>
      <c r="H1102" s="1">
        <v>3240</v>
      </c>
      <c r="I1102" s="1">
        <v>2201.1799999999998</v>
      </c>
      <c r="J1102" s="1">
        <v>1038.82</v>
      </c>
      <c r="K1102" s="8" t="str">
        <f t="shared" si="17"/>
        <v>Nov</v>
      </c>
    </row>
    <row r="1103" spans="1:11">
      <c r="A1103" s="1" t="s">
        <v>1127</v>
      </c>
      <c r="B1103" s="2">
        <v>45881</v>
      </c>
      <c r="C1103" s="1" t="s">
        <v>36</v>
      </c>
      <c r="D1103" s="1" t="s">
        <v>13</v>
      </c>
      <c r="E1103" s="1" t="s">
        <v>18</v>
      </c>
      <c r="F1103" s="1">
        <v>187</v>
      </c>
      <c r="G1103" s="1">
        <v>33.53</v>
      </c>
      <c r="H1103" s="1">
        <v>6270.11</v>
      </c>
      <c r="I1103" s="1">
        <v>4428.8599999999997</v>
      </c>
      <c r="J1103" s="1">
        <v>1841.25</v>
      </c>
      <c r="K1103" s="8" t="str">
        <f t="shared" si="17"/>
        <v>Aug</v>
      </c>
    </row>
    <row r="1104" spans="1:11">
      <c r="A1104" s="1" t="s">
        <v>1128</v>
      </c>
      <c r="B1104" s="2">
        <v>45692</v>
      </c>
      <c r="C1104" s="1" t="s">
        <v>16</v>
      </c>
      <c r="D1104" s="1" t="s">
        <v>13</v>
      </c>
      <c r="E1104" s="1" t="s">
        <v>18</v>
      </c>
      <c r="F1104" s="1">
        <v>159</v>
      </c>
      <c r="G1104" s="1">
        <v>22.56</v>
      </c>
      <c r="H1104" s="1">
        <v>3587.04</v>
      </c>
      <c r="I1104" s="1">
        <v>2361.69</v>
      </c>
      <c r="J1104" s="1">
        <v>1225.3499999999999</v>
      </c>
      <c r="K1104" s="8" t="str">
        <f t="shared" si="17"/>
        <v>Feb</v>
      </c>
    </row>
    <row r="1105" spans="1:11">
      <c r="A1105" s="1" t="s">
        <v>1129</v>
      </c>
      <c r="B1105" s="2">
        <v>45824</v>
      </c>
      <c r="C1105" s="1" t="s">
        <v>36</v>
      </c>
      <c r="D1105" s="1" t="s">
        <v>17</v>
      </c>
      <c r="E1105" s="1" t="s">
        <v>14</v>
      </c>
      <c r="F1105" s="1">
        <v>237</v>
      </c>
      <c r="G1105" s="1">
        <v>18.47</v>
      </c>
      <c r="H1105" s="1">
        <v>4377.3900000000003</v>
      </c>
      <c r="I1105" s="1">
        <v>3382.86</v>
      </c>
      <c r="J1105" s="1">
        <v>994.53</v>
      </c>
      <c r="K1105" s="8" t="str">
        <f t="shared" si="17"/>
        <v>Jun</v>
      </c>
    </row>
    <row r="1106" spans="1:11">
      <c r="A1106" s="1" t="s">
        <v>1130</v>
      </c>
      <c r="B1106" s="2">
        <v>45852</v>
      </c>
      <c r="C1106" s="1" t="s">
        <v>12</v>
      </c>
      <c r="D1106" s="1" t="s">
        <v>17</v>
      </c>
      <c r="E1106" s="1" t="s">
        <v>18</v>
      </c>
      <c r="F1106" s="1">
        <v>55</v>
      </c>
      <c r="G1106" s="1">
        <v>38.18</v>
      </c>
      <c r="H1106" s="1">
        <v>2099.9</v>
      </c>
      <c r="I1106" s="1">
        <v>1448.78</v>
      </c>
      <c r="J1106" s="1">
        <v>651.12</v>
      </c>
      <c r="K1106" s="8" t="str">
        <f t="shared" si="17"/>
        <v>Jul</v>
      </c>
    </row>
    <row r="1107" spans="1:11">
      <c r="A1107" s="1" t="s">
        <v>1131</v>
      </c>
      <c r="B1107" s="2">
        <v>45789</v>
      </c>
      <c r="C1107" s="1" t="s">
        <v>12</v>
      </c>
      <c r="D1107" s="1" t="s">
        <v>29</v>
      </c>
      <c r="E1107" s="1" t="s">
        <v>33</v>
      </c>
      <c r="F1107" s="1">
        <v>263</v>
      </c>
      <c r="G1107" s="1">
        <v>17.760000000000002</v>
      </c>
      <c r="H1107" s="1">
        <v>4670.88</v>
      </c>
      <c r="I1107" s="1">
        <v>2898.86</v>
      </c>
      <c r="J1107" s="1">
        <v>1772.02</v>
      </c>
      <c r="K1107" s="8" t="str">
        <f t="shared" si="17"/>
        <v>May</v>
      </c>
    </row>
    <row r="1108" spans="1:11">
      <c r="A1108" s="1" t="s">
        <v>1132</v>
      </c>
      <c r="B1108" s="2">
        <v>45738</v>
      </c>
      <c r="C1108" s="1" t="s">
        <v>28</v>
      </c>
      <c r="D1108" s="1" t="s">
        <v>17</v>
      </c>
      <c r="E1108" s="1" t="s">
        <v>14</v>
      </c>
      <c r="F1108" s="1">
        <v>271</v>
      </c>
      <c r="G1108" s="1">
        <v>22.97</v>
      </c>
      <c r="H1108" s="1">
        <v>6224.87</v>
      </c>
      <c r="I1108" s="1">
        <v>4968.24</v>
      </c>
      <c r="J1108" s="1">
        <v>1256.6300000000001</v>
      </c>
      <c r="K1108" s="8" t="str">
        <f t="shared" si="17"/>
        <v>Mar</v>
      </c>
    </row>
    <row r="1109" spans="1:11">
      <c r="A1109" s="1" t="s">
        <v>1133</v>
      </c>
      <c r="B1109" s="2">
        <v>45850</v>
      </c>
      <c r="C1109" s="1" t="s">
        <v>16</v>
      </c>
      <c r="D1109" s="1" t="s">
        <v>17</v>
      </c>
      <c r="E1109" s="1" t="s">
        <v>33</v>
      </c>
      <c r="F1109" s="1">
        <v>73</v>
      </c>
      <c r="G1109" s="1">
        <v>26.71</v>
      </c>
      <c r="H1109" s="1">
        <v>1949.83</v>
      </c>
      <c r="I1109" s="1">
        <v>1451.99</v>
      </c>
      <c r="J1109" s="1">
        <v>497.84</v>
      </c>
      <c r="K1109" s="8" t="str">
        <f t="shared" si="17"/>
        <v>Jul</v>
      </c>
    </row>
    <row r="1110" spans="1:11">
      <c r="A1110" s="1" t="s">
        <v>1134</v>
      </c>
      <c r="B1110" s="2">
        <v>45737</v>
      </c>
      <c r="C1110" s="1" t="s">
        <v>31</v>
      </c>
      <c r="D1110" s="1" t="s">
        <v>17</v>
      </c>
      <c r="E1110" s="1" t="s">
        <v>18</v>
      </c>
      <c r="F1110" s="1">
        <v>167</v>
      </c>
      <c r="G1110" s="1">
        <v>22.31</v>
      </c>
      <c r="H1110" s="1">
        <v>3725.77</v>
      </c>
      <c r="I1110" s="1">
        <v>2331.04</v>
      </c>
      <c r="J1110" s="1">
        <v>1394.73</v>
      </c>
      <c r="K1110" s="8" t="str">
        <f t="shared" si="17"/>
        <v>Mar</v>
      </c>
    </row>
    <row r="1111" spans="1:11">
      <c r="A1111" s="1" t="s">
        <v>1135</v>
      </c>
      <c r="B1111" s="2">
        <v>45805</v>
      </c>
      <c r="C1111" s="1" t="s">
        <v>22</v>
      </c>
      <c r="D1111" s="1" t="s">
        <v>17</v>
      </c>
      <c r="E1111" s="1" t="s">
        <v>33</v>
      </c>
      <c r="F1111" s="1">
        <v>254</v>
      </c>
      <c r="G1111" s="1">
        <v>28.36</v>
      </c>
      <c r="H1111" s="1">
        <v>7203.44</v>
      </c>
      <c r="I1111" s="1">
        <v>5217.04</v>
      </c>
      <c r="J1111" s="1">
        <v>1986.4</v>
      </c>
      <c r="K1111" s="8" t="str">
        <f t="shared" si="17"/>
        <v>May</v>
      </c>
    </row>
    <row r="1112" spans="1:11">
      <c r="A1112" s="1" t="s">
        <v>1136</v>
      </c>
      <c r="B1112" s="2">
        <v>45914</v>
      </c>
      <c r="C1112" s="1" t="s">
        <v>16</v>
      </c>
      <c r="D1112" s="1" t="s">
        <v>17</v>
      </c>
      <c r="E1112" s="1" t="s">
        <v>23</v>
      </c>
      <c r="F1112" s="1">
        <v>18</v>
      </c>
      <c r="G1112" s="1">
        <v>22.4</v>
      </c>
      <c r="H1112" s="1">
        <v>403.2</v>
      </c>
      <c r="I1112" s="1">
        <v>321.83</v>
      </c>
      <c r="J1112" s="1">
        <v>81.37</v>
      </c>
      <c r="K1112" s="8" t="str">
        <f t="shared" si="17"/>
        <v>Sep</v>
      </c>
    </row>
    <row r="1113" spans="1:11">
      <c r="A1113" s="1" t="s">
        <v>1137</v>
      </c>
      <c r="B1113" s="2">
        <v>45912</v>
      </c>
      <c r="C1113" s="1" t="s">
        <v>28</v>
      </c>
      <c r="D1113" s="1" t="s">
        <v>13</v>
      </c>
      <c r="E1113" s="1" t="s">
        <v>18</v>
      </c>
      <c r="F1113" s="1">
        <v>201</v>
      </c>
      <c r="G1113" s="1">
        <v>36.29</v>
      </c>
      <c r="H1113" s="1">
        <v>7294.29</v>
      </c>
      <c r="I1113" s="1">
        <v>5651.6</v>
      </c>
      <c r="J1113" s="1">
        <v>1642.69</v>
      </c>
      <c r="K1113" s="8" t="str">
        <f t="shared" si="17"/>
        <v>Sep</v>
      </c>
    </row>
    <row r="1114" spans="1:11">
      <c r="A1114" s="1" t="s">
        <v>1138</v>
      </c>
      <c r="B1114" s="2">
        <v>45868</v>
      </c>
      <c r="C1114" s="1" t="s">
        <v>16</v>
      </c>
      <c r="D1114" s="1" t="s">
        <v>13</v>
      </c>
      <c r="E1114" s="1" t="s">
        <v>33</v>
      </c>
      <c r="F1114" s="1">
        <v>110</v>
      </c>
      <c r="G1114" s="1">
        <v>30.94</v>
      </c>
      <c r="H1114" s="1">
        <v>3403.4</v>
      </c>
      <c r="I1114" s="1">
        <v>2506.52</v>
      </c>
      <c r="J1114" s="1">
        <v>896.88</v>
      </c>
      <c r="K1114" s="8" t="str">
        <f t="shared" si="17"/>
        <v>Jul</v>
      </c>
    </row>
    <row r="1115" spans="1:11">
      <c r="A1115" s="1" t="s">
        <v>1139</v>
      </c>
      <c r="B1115" s="2">
        <v>45771</v>
      </c>
      <c r="C1115" s="1" t="s">
        <v>12</v>
      </c>
      <c r="D1115" s="1" t="s">
        <v>29</v>
      </c>
      <c r="E1115" s="1" t="s">
        <v>33</v>
      </c>
      <c r="F1115" s="1">
        <v>168</v>
      </c>
      <c r="G1115" s="1">
        <v>21.26</v>
      </c>
      <c r="H1115" s="1">
        <v>3571.68</v>
      </c>
      <c r="I1115" s="1">
        <v>2439.23</v>
      </c>
      <c r="J1115" s="1">
        <v>1132.45</v>
      </c>
      <c r="K1115" s="8" t="str">
        <f t="shared" si="17"/>
        <v>Apr</v>
      </c>
    </row>
    <row r="1116" spans="1:11">
      <c r="A1116" s="1" t="s">
        <v>1140</v>
      </c>
      <c r="B1116" s="2">
        <v>45890</v>
      </c>
      <c r="C1116" s="1" t="s">
        <v>16</v>
      </c>
      <c r="D1116" s="1" t="s">
        <v>17</v>
      </c>
      <c r="E1116" s="1" t="s">
        <v>23</v>
      </c>
      <c r="F1116" s="1">
        <v>231</v>
      </c>
      <c r="G1116" s="1">
        <v>20.97</v>
      </c>
      <c r="H1116" s="1">
        <v>4844.07</v>
      </c>
      <c r="I1116" s="1">
        <v>3010.52</v>
      </c>
      <c r="J1116" s="1">
        <v>1833.55</v>
      </c>
      <c r="K1116" s="8" t="str">
        <f t="shared" si="17"/>
        <v>Aug</v>
      </c>
    </row>
    <row r="1117" spans="1:11">
      <c r="A1117" s="1" t="s">
        <v>1141</v>
      </c>
      <c r="B1117" s="2">
        <v>45716</v>
      </c>
      <c r="C1117" s="1" t="s">
        <v>36</v>
      </c>
      <c r="D1117" s="1" t="s">
        <v>17</v>
      </c>
      <c r="E1117" s="1" t="s">
        <v>23</v>
      </c>
      <c r="F1117" s="1">
        <v>238</v>
      </c>
      <c r="G1117" s="1">
        <v>32.799999999999997</v>
      </c>
      <c r="H1117" s="1">
        <v>7806.4</v>
      </c>
      <c r="I1117" s="1">
        <v>6145.4</v>
      </c>
      <c r="J1117" s="1">
        <v>1661</v>
      </c>
      <c r="K1117" s="8" t="str">
        <f t="shared" si="17"/>
        <v>Feb</v>
      </c>
    </row>
    <row r="1118" spans="1:11">
      <c r="A1118" s="1" t="s">
        <v>1142</v>
      </c>
      <c r="B1118" s="2">
        <v>45872</v>
      </c>
      <c r="C1118" s="1" t="s">
        <v>12</v>
      </c>
      <c r="D1118" s="1" t="s">
        <v>29</v>
      </c>
      <c r="E1118" s="1" t="s">
        <v>18</v>
      </c>
      <c r="F1118" s="1">
        <v>97</v>
      </c>
      <c r="G1118" s="1">
        <v>17.2</v>
      </c>
      <c r="H1118" s="1">
        <v>1668.4</v>
      </c>
      <c r="I1118" s="1">
        <v>1210.19</v>
      </c>
      <c r="J1118" s="1">
        <v>458.21</v>
      </c>
      <c r="K1118" s="8" t="str">
        <f t="shared" si="17"/>
        <v>Aug</v>
      </c>
    </row>
    <row r="1119" spans="1:11">
      <c r="A1119" s="1" t="s">
        <v>1143</v>
      </c>
      <c r="B1119" s="2">
        <v>45826</v>
      </c>
      <c r="C1119" s="1" t="s">
        <v>36</v>
      </c>
      <c r="D1119" s="1" t="s">
        <v>17</v>
      </c>
      <c r="E1119" s="1" t="s">
        <v>26</v>
      </c>
      <c r="F1119" s="1">
        <v>138</v>
      </c>
      <c r="G1119" s="1">
        <v>21.57</v>
      </c>
      <c r="H1119" s="1">
        <v>2976.66</v>
      </c>
      <c r="I1119" s="1">
        <v>2381.0100000000002</v>
      </c>
      <c r="J1119" s="1">
        <v>595.65</v>
      </c>
      <c r="K1119" s="8" t="str">
        <f t="shared" si="17"/>
        <v>Jun</v>
      </c>
    </row>
    <row r="1120" spans="1:11">
      <c r="A1120" s="1" t="s">
        <v>1144</v>
      </c>
      <c r="B1120" s="2">
        <v>45913</v>
      </c>
      <c r="C1120" s="1" t="s">
        <v>22</v>
      </c>
      <c r="D1120" s="1" t="s">
        <v>13</v>
      </c>
      <c r="E1120" s="1" t="s">
        <v>14</v>
      </c>
      <c r="F1120" s="1">
        <v>298</v>
      </c>
      <c r="G1120" s="1">
        <v>25.33</v>
      </c>
      <c r="H1120" s="1">
        <v>7548.34</v>
      </c>
      <c r="I1120" s="1">
        <v>5527.73</v>
      </c>
      <c r="J1120" s="1">
        <v>2020.61</v>
      </c>
      <c r="K1120" s="8" t="str">
        <f t="shared" si="17"/>
        <v>Sep</v>
      </c>
    </row>
    <row r="1121" spans="1:11">
      <c r="A1121" s="1" t="s">
        <v>1145</v>
      </c>
      <c r="B1121" s="2">
        <v>45810</v>
      </c>
      <c r="C1121" s="1" t="s">
        <v>31</v>
      </c>
      <c r="D1121" s="1" t="s">
        <v>17</v>
      </c>
      <c r="E1121" s="1" t="s">
        <v>23</v>
      </c>
      <c r="F1121" s="1">
        <v>50</v>
      </c>
      <c r="G1121" s="1">
        <v>36.68</v>
      </c>
      <c r="H1121" s="1">
        <v>1834</v>
      </c>
      <c r="I1121" s="1">
        <v>1187.1099999999999</v>
      </c>
      <c r="J1121" s="1">
        <v>646.89</v>
      </c>
      <c r="K1121" s="8" t="str">
        <f t="shared" si="17"/>
        <v>Jun</v>
      </c>
    </row>
    <row r="1122" spans="1:11">
      <c r="A1122" s="1" t="s">
        <v>1146</v>
      </c>
      <c r="B1122" s="2">
        <v>45867</v>
      </c>
      <c r="C1122" s="1" t="s">
        <v>22</v>
      </c>
      <c r="D1122" s="1" t="s">
        <v>29</v>
      </c>
      <c r="E1122" s="1" t="s">
        <v>20</v>
      </c>
      <c r="F1122" s="1">
        <v>282</v>
      </c>
      <c r="G1122" s="1">
        <v>12.3</v>
      </c>
      <c r="H1122" s="1">
        <v>3468.6</v>
      </c>
      <c r="I1122" s="1">
        <v>2588.94</v>
      </c>
      <c r="J1122" s="1">
        <v>879.66</v>
      </c>
      <c r="K1122" s="8" t="str">
        <f t="shared" si="17"/>
        <v>Jul</v>
      </c>
    </row>
    <row r="1123" spans="1:11">
      <c r="A1123" s="1" t="s">
        <v>1147</v>
      </c>
      <c r="B1123" s="2">
        <v>46010</v>
      </c>
      <c r="C1123" s="1" t="s">
        <v>36</v>
      </c>
      <c r="D1123" s="1" t="s">
        <v>17</v>
      </c>
      <c r="E1123" s="1" t="s">
        <v>14</v>
      </c>
      <c r="F1123" s="1">
        <v>57</v>
      </c>
      <c r="G1123" s="1">
        <v>21.41</v>
      </c>
      <c r="H1123" s="1">
        <v>1220.3699999999999</v>
      </c>
      <c r="I1123" s="1">
        <v>956.54</v>
      </c>
      <c r="J1123" s="1">
        <v>263.83</v>
      </c>
      <c r="K1123" s="8" t="str">
        <f t="shared" si="17"/>
        <v>Dec</v>
      </c>
    </row>
    <row r="1124" spans="1:11">
      <c r="A1124" s="1" t="s">
        <v>1148</v>
      </c>
      <c r="B1124" s="2">
        <v>45692</v>
      </c>
      <c r="C1124" s="1" t="s">
        <v>22</v>
      </c>
      <c r="D1124" s="1" t="s">
        <v>13</v>
      </c>
      <c r="E1124" s="1" t="s">
        <v>26</v>
      </c>
      <c r="F1124" s="1">
        <v>82</v>
      </c>
      <c r="G1124" s="1">
        <v>26.6</v>
      </c>
      <c r="H1124" s="1">
        <v>2181.1999999999998</v>
      </c>
      <c r="I1124" s="1">
        <v>1594.17</v>
      </c>
      <c r="J1124" s="1">
        <v>587.03</v>
      </c>
      <c r="K1124" s="8" t="str">
        <f t="shared" si="17"/>
        <v>Feb</v>
      </c>
    </row>
    <row r="1125" spans="1:11">
      <c r="A1125" s="1" t="s">
        <v>1149</v>
      </c>
      <c r="B1125" s="2">
        <v>45698</v>
      </c>
      <c r="C1125" s="1" t="s">
        <v>28</v>
      </c>
      <c r="D1125" s="1" t="s">
        <v>29</v>
      </c>
      <c r="E1125" s="1" t="s">
        <v>33</v>
      </c>
      <c r="F1125" s="1">
        <v>259</v>
      </c>
      <c r="G1125" s="1">
        <v>19.75</v>
      </c>
      <c r="H1125" s="1">
        <v>5115.25</v>
      </c>
      <c r="I1125" s="1">
        <v>3950.23</v>
      </c>
      <c r="J1125" s="1">
        <v>1165.02</v>
      </c>
      <c r="K1125" s="8" t="str">
        <f t="shared" si="17"/>
        <v>Feb</v>
      </c>
    </row>
    <row r="1126" spans="1:11">
      <c r="A1126" s="1" t="s">
        <v>1150</v>
      </c>
      <c r="B1126" s="2">
        <v>45800</v>
      </c>
      <c r="C1126" s="1" t="s">
        <v>22</v>
      </c>
      <c r="D1126" s="1" t="s">
        <v>17</v>
      </c>
      <c r="E1126" s="1" t="s">
        <v>20</v>
      </c>
      <c r="F1126" s="1">
        <v>200</v>
      </c>
      <c r="G1126" s="1">
        <v>23.37</v>
      </c>
      <c r="H1126" s="1">
        <v>4674</v>
      </c>
      <c r="I1126" s="1">
        <v>3022.14</v>
      </c>
      <c r="J1126" s="1">
        <v>1651.86</v>
      </c>
      <c r="K1126" s="8" t="str">
        <f t="shared" si="17"/>
        <v>May</v>
      </c>
    </row>
    <row r="1127" spans="1:11">
      <c r="A1127" s="1" t="s">
        <v>1151</v>
      </c>
      <c r="B1127" s="2">
        <v>45739</v>
      </c>
      <c r="C1127" s="1" t="s">
        <v>22</v>
      </c>
      <c r="D1127" s="1" t="s">
        <v>29</v>
      </c>
      <c r="E1127" s="1" t="s">
        <v>33</v>
      </c>
      <c r="F1127" s="1">
        <v>242</v>
      </c>
      <c r="G1127" s="1">
        <v>38.369999999999997</v>
      </c>
      <c r="H1127" s="1">
        <v>9285.5400000000009</v>
      </c>
      <c r="I1127" s="1">
        <v>7244.48</v>
      </c>
      <c r="J1127" s="1">
        <v>2041.06</v>
      </c>
      <c r="K1127" s="8" t="str">
        <f t="shared" si="17"/>
        <v>Mar</v>
      </c>
    </row>
    <row r="1128" spans="1:11">
      <c r="A1128" s="1" t="s">
        <v>1152</v>
      </c>
      <c r="B1128" s="2">
        <v>45992</v>
      </c>
      <c r="C1128" s="1" t="s">
        <v>31</v>
      </c>
      <c r="D1128" s="1" t="s">
        <v>17</v>
      </c>
      <c r="E1128" s="1" t="s">
        <v>33</v>
      </c>
      <c r="F1128" s="1">
        <v>211</v>
      </c>
      <c r="G1128" s="1">
        <v>32.880000000000003</v>
      </c>
      <c r="H1128" s="1">
        <v>6937.68</v>
      </c>
      <c r="I1128" s="1">
        <v>4253</v>
      </c>
      <c r="J1128" s="1">
        <v>2684.68</v>
      </c>
      <c r="K1128" s="8" t="str">
        <f t="shared" si="17"/>
        <v>Dec</v>
      </c>
    </row>
    <row r="1129" spans="1:11">
      <c r="A1129" s="1" t="s">
        <v>1153</v>
      </c>
      <c r="B1129" s="2">
        <v>45798</v>
      </c>
      <c r="C1129" s="1" t="s">
        <v>12</v>
      </c>
      <c r="D1129" s="1" t="s">
        <v>17</v>
      </c>
      <c r="E1129" s="1" t="s">
        <v>18</v>
      </c>
      <c r="F1129" s="1">
        <v>282</v>
      </c>
      <c r="G1129" s="1">
        <v>17.09</v>
      </c>
      <c r="H1129" s="1">
        <v>4819.38</v>
      </c>
      <c r="I1129" s="1">
        <v>3671.47</v>
      </c>
      <c r="J1129" s="1">
        <v>1147.9100000000001</v>
      </c>
      <c r="K1129" s="8" t="str">
        <f t="shared" si="17"/>
        <v>May</v>
      </c>
    </row>
    <row r="1130" spans="1:11">
      <c r="A1130" s="1" t="s">
        <v>1154</v>
      </c>
      <c r="B1130" s="2">
        <v>45776</v>
      </c>
      <c r="C1130" s="1" t="s">
        <v>28</v>
      </c>
      <c r="D1130" s="1" t="s">
        <v>29</v>
      </c>
      <c r="E1130" s="1" t="s">
        <v>33</v>
      </c>
      <c r="F1130" s="1">
        <v>173</v>
      </c>
      <c r="G1130" s="1">
        <v>10.39</v>
      </c>
      <c r="H1130" s="1">
        <v>1797.47</v>
      </c>
      <c r="I1130" s="1">
        <v>1238.33</v>
      </c>
      <c r="J1130" s="1">
        <v>559.14</v>
      </c>
      <c r="K1130" s="8" t="str">
        <f t="shared" si="17"/>
        <v>Apr</v>
      </c>
    </row>
    <row r="1131" spans="1:11">
      <c r="A1131" s="1" t="s">
        <v>1155</v>
      </c>
      <c r="B1131" s="2">
        <v>45848</v>
      </c>
      <c r="C1131" s="1" t="s">
        <v>22</v>
      </c>
      <c r="D1131" s="1" t="s">
        <v>17</v>
      </c>
      <c r="E1131" s="1" t="s">
        <v>20</v>
      </c>
      <c r="F1131" s="1">
        <v>164</v>
      </c>
      <c r="G1131" s="1">
        <v>24.97</v>
      </c>
      <c r="H1131" s="1">
        <v>4095.08</v>
      </c>
      <c r="I1131" s="1">
        <v>2926.11</v>
      </c>
      <c r="J1131" s="1">
        <v>1168.97</v>
      </c>
      <c r="K1131" s="8" t="str">
        <f t="shared" si="17"/>
        <v>Jul</v>
      </c>
    </row>
    <row r="1132" spans="1:11">
      <c r="A1132" s="1" t="s">
        <v>1156</v>
      </c>
      <c r="B1132" s="2">
        <v>45982</v>
      </c>
      <c r="C1132" s="1" t="s">
        <v>31</v>
      </c>
      <c r="D1132" s="1" t="s">
        <v>29</v>
      </c>
      <c r="E1132" s="1" t="s">
        <v>18</v>
      </c>
      <c r="F1132" s="1">
        <v>189</v>
      </c>
      <c r="G1132" s="1">
        <v>26.83</v>
      </c>
      <c r="H1132" s="1">
        <v>5070.87</v>
      </c>
      <c r="I1132" s="1">
        <v>3526.96</v>
      </c>
      <c r="J1132" s="1">
        <v>1543.91</v>
      </c>
      <c r="K1132" s="8" t="str">
        <f t="shared" si="17"/>
        <v>Nov</v>
      </c>
    </row>
    <row r="1133" spans="1:11">
      <c r="A1133" s="1" t="s">
        <v>1157</v>
      </c>
      <c r="B1133" s="2">
        <v>45700</v>
      </c>
      <c r="C1133" s="1" t="s">
        <v>12</v>
      </c>
      <c r="D1133" s="1" t="s">
        <v>29</v>
      </c>
      <c r="E1133" s="1" t="s">
        <v>33</v>
      </c>
      <c r="F1133" s="1">
        <v>15</v>
      </c>
      <c r="G1133" s="1">
        <v>27.26</v>
      </c>
      <c r="H1133" s="1">
        <v>408.9</v>
      </c>
      <c r="I1133" s="1">
        <v>306.86</v>
      </c>
      <c r="J1133" s="1">
        <v>102.04</v>
      </c>
      <c r="K1133" s="8" t="str">
        <f t="shared" si="17"/>
        <v>Feb</v>
      </c>
    </row>
    <row r="1134" spans="1:11">
      <c r="A1134" s="1" t="s">
        <v>1158</v>
      </c>
      <c r="B1134" s="2">
        <v>45856</v>
      </c>
      <c r="C1134" s="1" t="s">
        <v>36</v>
      </c>
      <c r="D1134" s="1" t="s">
        <v>29</v>
      </c>
      <c r="E1134" s="1" t="s">
        <v>23</v>
      </c>
      <c r="F1134" s="1">
        <v>171</v>
      </c>
      <c r="G1134" s="1">
        <v>24.94</v>
      </c>
      <c r="H1134" s="1">
        <v>4264.74</v>
      </c>
      <c r="I1134" s="1">
        <v>2930.12</v>
      </c>
      <c r="J1134" s="1">
        <v>1334.62</v>
      </c>
      <c r="K1134" s="8" t="str">
        <f t="shared" si="17"/>
        <v>Jul</v>
      </c>
    </row>
    <row r="1135" spans="1:11">
      <c r="A1135" s="1" t="s">
        <v>1159</v>
      </c>
      <c r="B1135" s="2">
        <v>45765</v>
      </c>
      <c r="C1135" s="1" t="s">
        <v>22</v>
      </c>
      <c r="D1135" s="1" t="s">
        <v>17</v>
      </c>
      <c r="E1135" s="1" t="s">
        <v>18</v>
      </c>
      <c r="F1135" s="1">
        <v>260</v>
      </c>
      <c r="G1135" s="1">
        <v>39.479999999999997</v>
      </c>
      <c r="H1135" s="1">
        <v>10264.799999999999</v>
      </c>
      <c r="I1135" s="1">
        <v>7122.87</v>
      </c>
      <c r="J1135" s="1">
        <v>3141.93</v>
      </c>
      <c r="K1135" s="8" t="str">
        <f t="shared" si="17"/>
        <v>Apr</v>
      </c>
    </row>
    <row r="1136" spans="1:11">
      <c r="A1136" s="1" t="s">
        <v>1160</v>
      </c>
      <c r="B1136" s="2">
        <v>45658</v>
      </c>
      <c r="C1136" s="1" t="s">
        <v>22</v>
      </c>
      <c r="D1136" s="1" t="s">
        <v>29</v>
      </c>
      <c r="E1136" s="1" t="s">
        <v>18</v>
      </c>
      <c r="F1136" s="1">
        <v>142</v>
      </c>
      <c r="G1136" s="1">
        <v>18.760000000000002</v>
      </c>
      <c r="H1136" s="1">
        <v>2663.92</v>
      </c>
      <c r="I1136" s="1">
        <v>1965.06</v>
      </c>
      <c r="J1136" s="1">
        <v>698.86</v>
      </c>
      <c r="K1136" s="8" t="str">
        <f t="shared" si="17"/>
        <v>Jan</v>
      </c>
    </row>
    <row r="1137" spans="1:11">
      <c r="A1137" s="1" t="s">
        <v>1161</v>
      </c>
      <c r="B1137" s="2">
        <v>45977</v>
      </c>
      <c r="C1137" s="1" t="s">
        <v>22</v>
      </c>
      <c r="D1137" s="1" t="s">
        <v>29</v>
      </c>
      <c r="E1137" s="1" t="s">
        <v>20</v>
      </c>
      <c r="F1137" s="1">
        <v>115</v>
      </c>
      <c r="G1137" s="1">
        <v>18.55</v>
      </c>
      <c r="H1137" s="1">
        <v>2133.25</v>
      </c>
      <c r="I1137" s="1">
        <v>1489.75</v>
      </c>
      <c r="J1137" s="1">
        <v>643.5</v>
      </c>
      <c r="K1137" s="8" t="str">
        <f t="shared" si="17"/>
        <v>Nov</v>
      </c>
    </row>
    <row r="1138" spans="1:11">
      <c r="A1138" s="1" t="s">
        <v>1162</v>
      </c>
      <c r="B1138" s="2">
        <v>45817</v>
      </c>
      <c r="C1138" s="1" t="s">
        <v>31</v>
      </c>
      <c r="D1138" s="1" t="s">
        <v>29</v>
      </c>
      <c r="E1138" s="1" t="s">
        <v>20</v>
      </c>
      <c r="F1138" s="1">
        <v>213</v>
      </c>
      <c r="G1138" s="1">
        <v>20.29</v>
      </c>
      <c r="H1138" s="1">
        <v>4321.7700000000004</v>
      </c>
      <c r="I1138" s="1">
        <v>2675.98</v>
      </c>
      <c r="J1138" s="1">
        <v>1645.79</v>
      </c>
      <c r="K1138" s="8" t="str">
        <f t="shared" si="17"/>
        <v>Jun</v>
      </c>
    </row>
    <row r="1139" spans="1:11">
      <c r="A1139" s="1" t="s">
        <v>1163</v>
      </c>
      <c r="B1139" s="2">
        <v>45953</v>
      </c>
      <c r="C1139" s="1" t="s">
        <v>16</v>
      </c>
      <c r="D1139" s="1" t="s">
        <v>17</v>
      </c>
      <c r="E1139" s="1" t="s">
        <v>23</v>
      </c>
      <c r="F1139" s="1">
        <v>85</v>
      </c>
      <c r="G1139" s="1">
        <v>15.19</v>
      </c>
      <c r="H1139" s="1">
        <v>1291.1500000000001</v>
      </c>
      <c r="I1139" s="1">
        <v>963.63</v>
      </c>
      <c r="J1139" s="1">
        <v>327.52</v>
      </c>
      <c r="K1139" s="8" t="str">
        <f t="shared" si="17"/>
        <v>Oct</v>
      </c>
    </row>
    <row r="1140" spans="1:11">
      <c r="A1140" s="1" t="s">
        <v>1164</v>
      </c>
      <c r="B1140" s="2">
        <v>45733</v>
      </c>
      <c r="C1140" s="1" t="s">
        <v>28</v>
      </c>
      <c r="D1140" s="1" t="s">
        <v>17</v>
      </c>
      <c r="E1140" s="1" t="s">
        <v>33</v>
      </c>
      <c r="F1140" s="1">
        <v>59</v>
      </c>
      <c r="G1140" s="1">
        <v>19.100000000000001</v>
      </c>
      <c r="H1140" s="1">
        <v>1126.9000000000001</v>
      </c>
      <c r="I1140" s="1">
        <v>847.45</v>
      </c>
      <c r="J1140" s="1">
        <v>279.45</v>
      </c>
      <c r="K1140" s="8" t="str">
        <f t="shared" si="17"/>
        <v>Mar</v>
      </c>
    </row>
    <row r="1141" spans="1:11">
      <c r="A1141" s="1" t="s">
        <v>1165</v>
      </c>
      <c r="B1141" s="2">
        <v>45890</v>
      </c>
      <c r="C1141" s="1" t="s">
        <v>12</v>
      </c>
      <c r="D1141" s="1" t="s">
        <v>17</v>
      </c>
      <c r="E1141" s="1" t="s">
        <v>14</v>
      </c>
      <c r="F1141" s="1">
        <v>155</v>
      </c>
      <c r="G1141" s="1">
        <v>32.950000000000003</v>
      </c>
      <c r="H1141" s="1">
        <v>5107.25</v>
      </c>
      <c r="I1141" s="1">
        <v>3757.55</v>
      </c>
      <c r="J1141" s="1">
        <v>1349.7</v>
      </c>
      <c r="K1141" s="8" t="str">
        <f t="shared" si="17"/>
        <v>Aug</v>
      </c>
    </row>
    <row r="1142" spans="1:11">
      <c r="A1142" s="1" t="s">
        <v>1166</v>
      </c>
      <c r="B1142" s="2">
        <v>45995</v>
      </c>
      <c r="C1142" s="1" t="s">
        <v>22</v>
      </c>
      <c r="D1142" s="1" t="s">
        <v>17</v>
      </c>
      <c r="E1142" s="1" t="s">
        <v>14</v>
      </c>
      <c r="F1142" s="1">
        <v>16</v>
      </c>
      <c r="G1142" s="1">
        <v>16.670000000000002</v>
      </c>
      <c r="H1142" s="1">
        <v>266.72000000000003</v>
      </c>
      <c r="I1142" s="1">
        <v>172.27</v>
      </c>
      <c r="J1142" s="1">
        <v>94.45</v>
      </c>
      <c r="K1142" s="8" t="str">
        <f t="shared" si="17"/>
        <v>Dec</v>
      </c>
    </row>
    <row r="1143" spans="1:11">
      <c r="A1143" s="1" t="s">
        <v>1167</v>
      </c>
      <c r="B1143" s="2">
        <v>45833</v>
      </c>
      <c r="C1143" s="1" t="s">
        <v>31</v>
      </c>
      <c r="D1143" s="1" t="s">
        <v>13</v>
      </c>
      <c r="E1143" s="1" t="s">
        <v>23</v>
      </c>
      <c r="F1143" s="1">
        <v>22</v>
      </c>
      <c r="G1143" s="1">
        <v>31.89</v>
      </c>
      <c r="H1143" s="1">
        <v>701.58</v>
      </c>
      <c r="I1143" s="1">
        <v>511.75</v>
      </c>
      <c r="J1143" s="1">
        <v>189.83</v>
      </c>
      <c r="K1143" s="8" t="str">
        <f t="shared" si="17"/>
        <v>Jun</v>
      </c>
    </row>
    <row r="1144" spans="1:11">
      <c r="A1144" s="1" t="s">
        <v>1168</v>
      </c>
      <c r="B1144" s="2">
        <v>45797</v>
      </c>
      <c r="C1144" s="1" t="s">
        <v>31</v>
      </c>
      <c r="D1144" s="1" t="s">
        <v>17</v>
      </c>
      <c r="E1144" s="1" t="s">
        <v>26</v>
      </c>
      <c r="F1144" s="1">
        <v>80</v>
      </c>
      <c r="G1144" s="1">
        <v>16.36</v>
      </c>
      <c r="H1144" s="1">
        <v>1308.8</v>
      </c>
      <c r="I1144" s="1">
        <v>815.83</v>
      </c>
      <c r="J1144" s="1">
        <v>492.97</v>
      </c>
      <c r="K1144" s="8" t="str">
        <f t="shared" si="17"/>
        <v>May</v>
      </c>
    </row>
    <row r="1145" spans="1:11">
      <c r="A1145" s="1" t="s">
        <v>1169</v>
      </c>
      <c r="B1145" s="2">
        <v>45918</v>
      </c>
      <c r="C1145" s="1" t="s">
        <v>28</v>
      </c>
      <c r="D1145" s="1" t="s">
        <v>17</v>
      </c>
      <c r="E1145" s="1" t="s">
        <v>14</v>
      </c>
      <c r="F1145" s="1">
        <v>102</v>
      </c>
      <c r="G1145" s="1">
        <v>22.82</v>
      </c>
      <c r="H1145" s="1">
        <v>2327.64</v>
      </c>
      <c r="I1145" s="1">
        <v>1436.95</v>
      </c>
      <c r="J1145" s="1">
        <v>890.69</v>
      </c>
      <c r="K1145" s="8" t="str">
        <f t="shared" si="17"/>
        <v>Sep</v>
      </c>
    </row>
    <row r="1146" spans="1:11">
      <c r="A1146" s="1" t="s">
        <v>1170</v>
      </c>
      <c r="B1146" s="2">
        <v>45845</v>
      </c>
      <c r="C1146" s="1" t="s">
        <v>16</v>
      </c>
      <c r="D1146" s="1" t="s">
        <v>17</v>
      </c>
      <c r="E1146" s="1" t="s">
        <v>18</v>
      </c>
      <c r="F1146" s="1">
        <v>279</v>
      </c>
      <c r="G1146" s="1">
        <v>25.52</v>
      </c>
      <c r="H1146" s="1">
        <v>7120.08</v>
      </c>
      <c r="I1146" s="1">
        <v>5441.26</v>
      </c>
      <c r="J1146" s="1">
        <v>1678.82</v>
      </c>
      <c r="K1146" s="8" t="str">
        <f t="shared" si="17"/>
        <v>Jul</v>
      </c>
    </row>
    <row r="1147" spans="1:11">
      <c r="A1147" s="1" t="s">
        <v>1171</v>
      </c>
      <c r="B1147" s="2">
        <v>45976</v>
      </c>
      <c r="C1147" s="1" t="s">
        <v>31</v>
      </c>
      <c r="D1147" s="1" t="s">
        <v>13</v>
      </c>
      <c r="E1147" s="1" t="s">
        <v>20</v>
      </c>
      <c r="F1147" s="1">
        <v>144</v>
      </c>
      <c r="G1147" s="1">
        <v>26.85</v>
      </c>
      <c r="H1147" s="1">
        <v>3866.4</v>
      </c>
      <c r="I1147" s="1">
        <v>2687.58</v>
      </c>
      <c r="J1147" s="1">
        <v>1178.82</v>
      </c>
      <c r="K1147" s="8" t="str">
        <f t="shared" si="17"/>
        <v>Nov</v>
      </c>
    </row>
    <row r="1148" spans="1:11">
      <c r="A1148" s="1" t="s">
        <v>1172</v>
      </c>
      <c r="B1148" s="2">
        <v>45790</v>
      </c>
      <c r="C1148" s="1" t="s">
        <v>22</v>
      </c>
      <c r="D1148" s="1" t="s">
        <v>13</v>
      </c>
      <c r="E1148" s="1" t="s">
        <v>20</v>
      </c>
      <c r="F1148" s="1">
        <v>60</v>
      </c>
      <c r="G1148" s="1">
        <v>17.07</v>
      </c>
      <c r="H1148" s="1">
        <v>1024.2</v>
      </c>
      <c r="I1148" s="1">
        <v>665.26</v>
      </c>
      <c r="J1148" s="1">
        <v>358.94</v>
      </c>
      <c r="K1148" s="8" t="str">
        <f t="shared" si="17"/>
        <v>May</v>
      </c>
    </row>
    <row r="1149" spans="1:11">
      <c r="A1149" s="1" t="s">
        <v>1173</v>
      </c>
      <c r="B1149" s="2">
        <v>46016</v>
      </c>
      <c r="C1149" s="1" t="s">
        <v>28</v>
      </c>
      <c r="D1149" s="1" t="s">
        <v>17</v>
      </c>
      <c r="E1149" s="1" t="s">
        <v>18</v>
      </c>
      <c r="F1149" s="1">
        <v>278</v>
      </c>
      <c r="G1149" s="1">
        <v>17.149999999999999</v>
      </c>
      <c r="H1149" s="1">
        <v>4767.7</v>
      </c>
      <c r="I1149" s="1">
        <v>3371.34</v>
      </c>
      <c r="J1149" s="1">
        <v>1396.36</v>
      </c>
      <c r="K1149" s="8" t="str">
        <f t="shared" si="17"/>
        <v>Dec</v>
      </c>
    </row>
    <row r="1150" spans="1:11">
      <c r="A1150" s="1" t="s">
        <v>1174</v>
      </c>
      <c r="B1150" s="2">
        <v>45849</v>
      </c>
      <c r="C1150" s="1" t="s">
        <v>28</v>
      </c>
      <c r="D1150" s="1" t="s">
        <v>29</v>
      </c>
      <c r="E1150" s="1" t="s">
        <v>18</v>
      </c>
      <c r="F1150" s="1">
        <v>39</v>
      </c>
      <c r="G1150" s="1">
        <v>15.77</v>
      </c>
      <c r="H1150" s="1">
        <v>615.03</v>
      </c>
      <c r="I1150" s="1">
        <v>446.08</v>
      </c>
      <c r="J1150" s="1">
        <v>168.95</v>
      </c>
      <c r="K1150" s="8" t="str">
        <f t="shared" si="17"/>
        <v>Jul</v>
      </c>
    </row>
    <row r="1151" spans="1:11">
      <c r="A1151" s="1" t="s">
        <v>1175</v>
      </c>
      <c r="B1151" s="2">
        <v>45754</v>
      </c>
      <c r="C1151" s="1" t="s">
        <v>31</v>
      </c>
      <c r="D1151" s="1" t="s">
        <v>17</v>
      </c>
      <c r="E1151" s="1" t="s">
        <v>26</v>
      </c>
      <c r="F1151" s="1">
        <v>33</v>
      </c>
      <c r="G1151" s="1">
        <v>31.33</v>
      </c>
      <c r="H1151" s="1">
        <v>1033.8900000000001</v>
      </c>
      <c r="I1151" s="1">
        <v>628.85</v>
      </c>
      <c r="J1151" s="1">
        <v>405.04</v>
      </c>
      <c r="K1151" s="8" t="str">
        <f t="shared" si="17"/>
        <v>Apr</v>
      </c>
    </row>
    <row r="1152" spans="1:11">
      <c r="A1152" s="1" t="s">
        <v>1176</v>
      </c>
      <c r="B1152" s="2">
        <v>45906</v>
      </c>
      <c r="C1152" s="1" t="s">
        <v>36</v>
      </c>
      <c r="D1152" s="1" t="s">
        <v>13</v>
      </c>
      <c r="E1152" s="1" t="s">
        <v>23</v>
      </c>
      <c r="F1152" s="1">
        <v>86</v>
      </c>
      <c r="G1152" s="1">
        <v>25.39</v>
      </c>
      <c r="H1152" s="1">
        <v>2183.54</v>
      </c>
      <c r="I1152" s="1">
        <v>1697.9</v>
      </c>
      <c r="J1152" s="1">
        <v>485.64</v>
      </c>
      <c r="K1152" s="8" t="str">
        <f t="shared" si="17"/>
        <v>Sep</v>
      </c>
    </row>
    <row r="1153" spans="1:11">
      <c r="A1153" s="1" t="s">
        <v>1177</v>
      </c>
      <c r="B1153" s="2">
        <v>45976</v>
      </c>
      <c r="C1153" s="1" t="s">
        <v>22</v>
      </c>
      <c r="D1153" s="1" t="s">
        <v>29</v>
      </c>
      <c r="E1153" s="1" t="s">
        <v>14</v>
      </c>
      <c r="F1153" s="1">
        <v>86</v>
      </c>
      <c r="G1153" s="1">
        <v>35.83</v>
      </c>
      <c r="H1153" s="1">
        <v>3081.38</v>
      </c>
      <c r="I1153" s="1">
        <v>1926.83</v>
      </c>
      <c r="J1153" s="1">
        <v>1154.55</v>
      </c>
      <c r="K1153" s="8" t="str">
        <f t="shared" si="17"/>
        <v>Nov</v>
      </c>
    </row>
    <row r="1154" spans="1:11">
      <c r="A1154" s="1" t="s">
        <v>1178</v>
      </c>
      <c r="B1154" s="2">
        <v>45898</v>
      </c>
      <c r="C1154" s="1" t="s">
        <v>28</v>
      </c>
      <c r="D1154" s="1" t="s">
        <v>13</v>
      </c>
      <c r="E1154" s="1" t="s">
        <v>14</v>
      </c>
      <c r="F1154" s="1">
        <v>50</v>
      </c>
      <c r="G1154" s="1">
        <v>37.96</v>
      </c>
      <c r="H1154" s="1">
        <v>1898</v>
      </c>
      <c r="I1154" s="1">
        <v>1267.08</v>
      </c>
      <c r="J1154" s="1">
        <v>630.91999999999996</v>
      </c>
      <c r="K1154" s="8" t="str">
        <f t="shared" ref="K1154:K1217" si="18">TEXT(B1154,"mmm")</f>
        <v>Aug</v>
      </c>
    </row>
    <row r="1155" spans="1:11">
      <c r="A1155" s="1" t="s">
        <v>1179</v>
      </c>
      <c r="B1155" s="2">
        <v>45668</v>
      </c>
      <c r="C1155" s="1" t="s">
        <v>12</v>
      </c>
      <c r="D1155" s="1" t="s">
        <v>29</v>
      </c>
      <c r="E1155" s="1" t="s">
        <v>26</v>
      </c>
      <c r="F1155" s="1">
        <v>261</v>
      </c>
      <c r="G1155" s="1">
        <v>36.729999999999997</v>
      </c>
      <c r="H1155" s="1">
        <v>9586.5300000000007</v>
      </c>
      <c r="I1155" s="1">
        <v>6135.93</v>
      </c>
      <c r="J1155" s="1">
        <v>3450.6</v>
      </c>
      <c r="K1155" s="8" t="str">
        <f t="shared" si="18"/>
        <v>Jan</v>
      </c>
    </row>
    <row r="1156" spans="1:11">
      <c r="A1156" s="1" t="s">
        <v>1180</v>
      </c>
      <c r="B1156" s="2">
        <v>46010</v>
      </c>
      <c r="C1156" s="1" t="s">
        <v>12</v>
      </c>
      <c r="D1156" s="1" t="s">
        <v>13</v>
      </c>
      <c r="E1156" s="1" t="s">
        <v>14</v>
      </c>
      <c r="F1156" s="1">
        <v>245</v>
      </c>
      <c r="G1156" s="1">
        <v>33.229999999999997</v>
      </c>
      <c r="H1156" s="1">
        <v>8141.35</v>
      </c>
      <c r="I1156" s="1">
        <v>6104.97</v>
      </c>
      <c r="J1156" s="1">
        <v>2036.38</v>
      </c>
      <c r="K1156" s="8" t="str">
        <f t="shared" si="18"/>
        <v>Dec</v>
      </c>
    </row>
    <row r="1157" spans="1:11">
      <c r="A1157" s="1" t="s">
        <v>1181</v>
      </c>
      <c r="B1157" s="2">
        <v>45734</v>
      </c>
      <c r="C1157" s="1" t="s">
        <v>36</v>
      </c>
      <c r="D1157" s="1" t="s">
        <v>17</v>
      </c>
      <c r="E1157" s="1" t="s">
        <v>14</v>
      </c>
      <c r="F1157" s="1">
        <v>62</v>
      </c>
      <c r="G1157" s="1">
        <v>15.71</v>
      </c>
      <c r="H1157" s="1">
        <v>974.02</v>
      </c>
      <c r="I1157" s="1">
        <v>693.25</v>
      </c>
      <c r="J1157" s="1">
        <v>280.77</v>
      </c>
      <c r="K1157" s="8" t="str">
        <f t="shared" si="18"/>
        <v>Mar</v>
      </c>
    </row>
    <row r="1158" spans="1:11">
      <c r="A1158" s="1" t="s">
        <v>1182</v>
      </c>
      <c r="B1158" s="2">
        <v>46008</v>
      </c>
      <c r="C1158" s="1" t="s">
        <v>16</v>
      </c>
      <c r="D1158" s="1" t="s">
        <v>17</v>
      </c>
      <c r="E1158" s="1" t="s">
        <v>33</v>
      </c>
      <c r="F1158" s="1">
        <v>50</v>
      </c>
      <c r="G1158" s="1">
        <v>22.32</v>
      </c>
      <c r="H1158" s="1">
        <v>1116</v>
      </c>
      <c r="I1158" s="1">
        <v>837.17</v>
      </c>
      <c r="J1158" s="1">
        <v>278.83</v>
      </c>
      <c r="K1158" s="8" t="str">
        <f t="shared" si="18"/>
        <v>Dec</v>
      </c>
    </row>
    <row r="1159" spans="1:11">
      <c r="A1159" s="1" t="s">
        <v>1183</v>
      </c>
      <c r="B1159" s="2">
        <v>45854</v>
      </c>
      <c r="C1159" s="1" t="s">
        <v>31</v>
      </c>
      <c r="D1159" s="1" t="s">
        <v>29</v>
      </c>
      <c r="E1159" s="1" t="s">
        <v>26</v>
      </c>
      <c r="F1159" s="1">
        <v>246</v>
      </c>
      <c r="G1159" s="1">
        <v>24.15</v>
      </c>
      <c r="H1159" s="1">
        <v>5940.9</v>
      </c>
      <c r="I1159" s="1">
        <v>4529.76</v>
      </c>
      <c r="J1159" s="1">
        <v>1411.14</v>
      </c>
      <c r="K1159" s="8" t="str">
        <f t="shared" si="18"/>
        <v>Jul</v>
      </c>
    </row>
    <row r="1160" spans="1:11">
      <c r="A1160" s="1" t="s">
        <v>1184</v>
      </c>
      <c r="B1160" s="2">
        <v>45754</v>
      </c>
      <c r="C1160" s="1" t="s">
        <v>31</v>
      </c>
      <c r="D1160" s="1" t="s">
        <v>29</v>
      </c>
      <c r="E1160" s="1" t="s">
        <v>23</v>
      </c>
      <c r="F1160" s="1">
        <v>260</v>
      </c>
      <c r="G1160" s="1">
        <v>15.33</v>
      </c>
      <c r="H1160" s="1">
        <v>3985.8</v>
      </c>
      <c r="I1160" s="1">
        <v>2554.3000000000002</v>
      </c>
      <c r="J1160" s="1">
        <v>1431.5</v>
      </c>
      <c r="K1160" s="8" t="str">
        <f t="shared" si="18"/>
        <v>Apr</v>
      </c>
    </row>
    <row r="1161" spans="1:11">
      <c r="A1161" s="1" t="s">
        <v>1185</v>
      </c>
      <c r="B1161" s="2">
        <v>45875</v>
      </c>
      <c r="C1161" s="1" t="s">
        <v>36</v>
      </c>
      <c r="D1161" s="1" t="s">
        <v>13</v>
      </c>
      <c r="E1161" s="1" t="s">
        <v>23</v>
      </c>
      <c r="F1161" s="1">
        <v>106</v>
      </c>
      <c r="G1161" s="1">
        <v>39.229999999999997</v>
      </c>
      <c r="H1161" s="1">
        <v>4158.38</v>
      </c>
      <c r="I1161" s="1">
        <v>3282.42</v>
      </c>
      <c r="J1161" s="1">
        <v>875.96</v>
      </c>
      <c r="K1161" s="8" t="str">
        <f t="shared" si="18"/>
        <v>Aug</v>
      </c>
    </row>
    <row r="1162" spans="1:11">
      <c r="A1162" s="1" t="s">
        <v>1186</v>
      </c>
      <c r="B1162" s="2">
        <v>46018</v>
      </c>
      <c r="C1162" s="1" t="s">
        <v>28</v>
      </c>
      <c r="D1162" s="1" t="s">
        <v>17</v>
      </c>
      <c r="E1162" s="1" t="s">
        <v>23</v>
      </c>
      <c r="F1162" s="1">
        <v>32</v>
      </c>
      <c r="G1162" s="1">
        <v>28.18</v>
      </c>
      <c r="H1162" s="1">
        <v>901.76</v>
      </c>
      <c r="I1162" s="1">
        <v>543.9</v>
      </c>
      <c r="J1162" s="1">
        <v>357.86</v>
      </c>
      <c r="K1162" s="8" t="str">
        <f t="shared" si="18"/>
        <v>Dec</v>
      </c>
    </row>
    <row r="1163" spans="1:11">
      <c r="A1163" s="1" t="s">
        <v>1187</v>
      </c>
      <c r="B1163" s="2">
        <v>45996</v>
      </c>
      <c r="C1163" s="1" t="s">
        <v>12</v>
      </c>
      <c r="D1163" s="1" t="s">
        <v>17</v>
      </c>
      <c r="E1163" s="1" t="s">
        <v>23</v>
      </c>
      <c r="F1163" s="1">
        <v>139</v>
      </c>
      <c r="G1163" s="1">
        <v>18.260000000000002</v>
      </c>
      <c r="H1163" s="1">
        <v>2538.14</v>
      </c>
      <c r="I1163" s="1">
        <v>1537.72</v>
      </c>
      <c r="J1163" s="1">
        <v>1000.42</v>
      </c>
      <c r="K1163" s="8" t="str">
        <f t="shared" si="18"/>
        <v>Dec</v>
      </c>
    </row>
    <row r="1164" spans="1:11">
      <c r="A1164" s="1" t="s">
        <v>1188</v>
      </c>
      <c r="B1164" s="2">
        <v>45679</v>
      </c>
      <c r="C1164" s="1" t="s">
        <v>36</v>
      </c>
      <c r="D1164" s="1" t="s">
        <v>13</v>
      </c>
      <c r="E1164" s="1" t="s">
        <v>20</v>
      </c>
      <c r="F1164" s="1">
        <v>148</v>
      </c>
      <c r="G1164" s="1">
        <v>14.1</v>
      </c>
      <c r="H1164" s="1">
        <v>2086.8000000000002</v>
      </c>
      <c r="I1164" s="1">
        <v>1667.28</v>
      </c>
      <c r="J1164" s="1">
        <v>419.52</v>
      </c>
      <c r="K1164" s="8" t="str">
        <f t="shared" si="18"/>
        <v>Jan</v>
      </c>
    </row>
    <row r="1165" spans="1:11">
      <c r="A1165" s="1" t="s">
        <v>1189</v>
      </c>
      <c r="B1165" s="2">
        <v>45733</v>
      </c>
      <c r="C1165" s="1" t="s">
        <v>12</v>
      </c>
      <c r="D1165" s="1" t="s">
        <v>17</v>
      </c>
      <c r="E1165" s="1" t="s">
        <v>20</v>
      </c>
      <c r="F1165" s="1">
        <v>24</v>
      </c>
      <c r="G1165" s="1">
        <v>36.93</v>
      </c>
      <c r="H1165" s="1">
        <v>886.32</v>
      </c>
      <c r="I1165" s="1">
        <v>649.64</v>
      </c>
      <c r="J1165" s="1">
        <v>236.68</v>
      </c>
      <c r="K1165" s="8" t="str">
        <f t="shared" si="18"/>
        <v>Mar</v>
      </c>
    </row>
    <row r="1166" spans="1:11">
      <c r="A1166" s="1" t="s">
        <v>1190</v>
      </c>
      <c r="B1166" s="2">
        <v>45907</v>
      </c>
      <c r="C1166" s="1" t="s">
        <v>28</v>
      </c>
      <c r="D1166" s="1" t="s">
        <v>17</v>
      </c>
      <c r="E1166" s="1" t="s">
        <v>33</v>
      </c>
      <c r="F1166" s="1">
        <v>221</v>
      </c>
      <c r="G1166" s="1">
        <v>20.86</v>
      </c>
      <c r="H1166" s="1">
        <v>4610.0600000000004</v>
      </c>
      <c r="I1166" s="1">
        <v>3593.98</v>
      </c>
      <c r="J1166" s="1">
        <v>1016.08</v>
      </c>
      <c r="K1166" s="8" t="str">
        <f t="shared" si="18"/>
        <v>Sep</v>
      </c>
    </row>
    <row r="1167" spans="1:11">
      <c r="A1167" s="1" t="s">
        <v>1191</v>
      </c>
      <c r="B1167" s="2">
        <v>45687</v>
      </c>
      <c r="C1167" s="1" t="s">
        <v>12</v>
      </c>
      <c r="D1167" s="1" t="s">
        <v>29</v>
      </c>
      <c r="E1167" s="1" t="s">
        <v>26</v>
      </c>
      <c r="F1167" s="1">
        <v>269</v>
      </c>
      <c r="G1167" s="1">
        <v>39.93</v>
      </c>
      <c r="H1167" s="1">
        <v>10741.17</v>
      </c>
      <c r="I1167" s="1">
        <v>6668.94</v>
      </c>
      <c r="J1167" s="1">
        <v>4072.23</v>
      </c>
      <c r="K1167" s="8" t="str">
        <f t="shared" si="18"/>
        <v>Jan</v>
      </c>
    </row>
    <row r="1168" spans="1:11">
      <c r="A1168" s="1" t="s">
        <v>1192</v>
      </c>
      <c r="B1168" s="2">
        <v>45865</v>
      </c>
      <c r="C1168" s="1" t="s">
        <v>22</v>
      </c>
      <c r="D1168" s="1" t="s">
        <v>29</v>
      </c>
      <c r="E1168" s="1" t="s">
        <v>18</v>
      </c>
      <c r="F1168" s="1">
        <v>79</v>
      </c>
      <c r="G1168" s="1">
        <v>24.79</v>
      </c>
      <c r="H1168" s="1">
        <v>1958.41</v>
      </c>
      <c r="I1168" s="1">
        <v>1367.46</v>
      </c>
      <c r="J1168" s="1">
        <v>590.95000000000005</v>
      </c>
      <c r="K1168" s="8" t="str">
        <f t="shared" si="18"/>
        <v>Jul</v>
      </c>
    </row>
    <row r="1169" spans="1:11">
      <c r="A1169" s="1" t="s">
        <v>1193</v>
      </c>
      <c r="B1169" s="2">
        <v>45725</v>
      </c>
      <c r="C1169" s="1" t="s">
        <v>31</v>
      </c>
      <c r="D1169" s="1" t="s">
        <v>13</v>
      </c>
      <c r="E1169" s="1" t="s">
        <v>20</v>
      </c>
      <c r="F1169" s="1">
        <v>267</v>
      </c>
      <c r="G1169" s="1">
        <v>36.28</v>
      </c>
      <c r="H1169" s="1">
        <v>9686.76</v>
      </c>
      <c r="I1169" s="1">
        <v>6625.64</v>
      </c>
      <c r="J1169" s="1">
        <v>3061.12</v>
      </c>
      <c r="K1169" s="8" t="str">
        <f t="shared" si="18"/>
        <v>Mar</v>
      </c>
    </row>
    <row r="1170" spans="1:11">
      <c r="A1170" s="1" t="s">
        <v>1194</v>
      </c>
      <c r="B1170" s="2">
        <v>45717</v>
      </c>
      <c r="C1170" s="1" t="s">
        <v>16</v>
      </c>
      <c r="D1170" s="1" t="s">
        <v>29</v>
      </c>
      <c r="E1170" s="1" t="s">
        <v>23</v>
      </c>
      <c r="F1170" s="1">
        <v>245</v>
      </c>
      <c r="G1170" s="1">
        <v>37.82</v>
      </c>
      <c r="H1170" s="1">
        <v>9265.9</v>
      </c>
      <c r="I1170" s="1">
        <v>6234.01</v>
      </c>
      <c r="J1170" s="1">
        <v>3031.89</v>
      </c>
      <c r="K1170" s="8" t="str">
        <f t="shared" si="18"/>
        <v>Mar</v>
      </c>
    </row>
    <row r="1171" spans="1:11">
      <c r="A1171" s="1" t="s">
        <v>1195</v>
      </c>
      <c r="B1171" s="2">
        <v>45920</v>
      </c>
      <c r="C1171" s="1" t="s">
        <v>16</v>
      </c>
      <c r="D1171" s="1" t="s">
        <v>13</v>
      </c>
      <c r="E1171" s="1" t="s">
        <v>14</v>
      </c>
      <c r="F1171" s="1">
        <v>103</v>
      </c>
      <c r="G1171" s="1">
        <v>39.67</v>
      </c>
      <c r="H1171" s="1">
        <v>4086.01</v>
      </c>
      <c r="I1171" s="1">
        <v>2627.47</v>
      </c>
      <c r="J1171" s="1">
        <v>1458.54</v>
      </c>
      <c r="K1171" s="8" t="str">
        <f t="shared" si="18"/>
        <v>Sep</v>
      </c>
    </row>
    <row r="1172" spans="1:11">
      <c r="A1172" s="1" t="s">
        <v>1196</v>
      </c>
      <c r="B1172" s="2">
        <v>45776</v>
      </c>
      <c r="C1172" s="1" t="s">
        <v>22</v>
      </c>
      <c r="D1172" s="1" t="s">
        <v>13</v>
      </c>
      <c r="E1172" s="1" t="s">
        <v>26</v>
      </c>
      <c r="F1172" s="1">
        <v>170</v>
      </c>
      <c r="G1172" s="1">
        <v>16.86</v>
      </c>
      <c r="H1172" s="1">
        <v>2866.2</v>
      </c>
      <c r="I1172" s="1">
        <v>1746.71</v>
      </c>
      <c r="J1172" s="1">
        <v>1119.49</v>
      </c>
      <c r="K1172" s="8" t="str">
        <f t="shared" si="18"/>
        <v>Apr</v>
      </c>
    </row>
    <row r="1173" spans="1:11">
      <c r="A1173" s="1" t="s">
        <v>1197</v>
      </c>
      <c r="B1173" s="2">
        <v>45902</v>
      </c>
      <c r="C1173" s="1" t="s">
        <v>36</v>
      </c>
      <c r="D1173" s="1" t="s">
        <v>13</v>
      </c>
      <c r="E1173" s="1" t="s">
        <v>18</v>
      </c>
      <c r="F1173" s="1">
        <v>257</v>
      </c>
      <c r="G1173" s="1">
        <v>36.090000000000003</v>
      </c>
      <c r="H1173" s="1">
        <v>9275.1299999999992</v>
      </c>
      <c r="I1173" s="1">
        <v>6782.57</v>
      </c>
      <c r="J1173" s="1">
        <v>2492.56</v>
      </c>
      <c r="K1173" s="8" t="str">
        <f t="shared" si="18"/>
        <v>Sep</v>
      </c>
    </row>
    <row r="1174" spans="1:11">
      <c r="A1174" s="1" t="s">
        <v>1198</v>
      </c>
      <c r="B1174" s="2">
        <v>45812</v>
      </c>
      <c r="C1174" s="1" t="s">
        <v>28</v>
      </c>
      <c r="D1174" s="1" t="s">
        <v>17</v>
      </c>
      <c r="E1174" s="1" t="s">
        <v>20</v>
      </c>
      <c r="F1174" s="1">
        <v>115</v>
      </c>
      <c r="G1174" s="1">
        <v>14.3</v>
      </c>
      <c r="H1174" s="1">
        <v>1644.5</v>
      </c>
      <c r="I1174" s="1">
        <v>1210.79</v>
      </c>
      <c r="J1174" s="1">
        <v>433.71</v>
      </c>
      <c r="K1174" s="8" t="str">
        <f t="shared" si="18"/>
        <v>Jun</v>
      </c>
    </row>
    <row r="1175" spans="1:11">
      <c r="A1175" s="1" t="s">
        <v>1199</v>
      </c>
      <c r="B1175" s="2">
        <v>45679</v>
      </c>
      <c r="C1175" s="1" t="s">
        <v>31</v>
      </c>
      <c r="D1175" s="1" t="s">
        <v>13</v>
      </c>
      <c r="E1175" s="1" t="s">
        <v>33</v>
      </c>
      <c r="F1175" s="1">
        <v>186</v>
      </c>
      <c r="G1175" s="1">
        <v>26.67</v>
      </c>
      <c r="H1175" s="1">
        <v>4960.62</v>
      </c>
      <c r="I1175" s="1">
        <v>3183.7</v>
      </c>
      <c r="J1175" s="1">
        <v>1776.92</v>
      </c>
      <c r="K1175" s="8" t="str">
        <f t="shared" si="18"/>
        <v>Jan</v>
      </c>
    </row>
    <row r="1176" spans="1:11">
      <c r="A1176" s="1" t="s">
        <v>1200</v>
      </c>
      <c r="B1176" s="2">
        <v>45765</v>
      </c>
      <c r="C1176" s="1" t="s">
        <v>36</v>
      </c>
      <c r="D1176" s="1" t="s">
        <v>17</v>
      </c>
      <c r="E1176" s="1" t="s">
        <v>33</v>
      </c>
      <c r="F1176" s="1">
        <v>235</v>
      </c>
      <c r="G1176" s="1">
        <v>13.2</v>
      </c>
      <c r="H1176" s="1">
        <v>3102</v>
      </c>
      <c r="I1176" s="1">
        <v>2310.19</v>
      </c>
      <c r="J1176" s="1">
        <v>791.81</v>
      </c>
      <c r="K1176" s="8" t="str">
        <f t="shared" si="18"/>
        <v>Apr</v>
      </c>
    </row>
    <row r="1177" spans="1:11">
      <c r="A1177" s="1" t="s">
        <v>1201</v>
      </c>
      <c r="B1177" s="2">
        <v>45924</v>
      </c>
      <c r="C1177" s="1" t="s">
        <v>36</v>
      </c>
      <c r="D1177" s="1" t="s">
        <v>29</v>
      </c>
      <c r="E1177" s="1" t="s">
        <v>26</v>
      </c>
      <c r="F1177" s="1">
        <v>274</v>
      </c>
      <c r="G1177" s="1">
        <v>27.36</v>
      </c>
      <c r="H1177" s="1">
        <v>7496.64</v>
      </c>
      <c r="I1177" s="1">
        <v>4720.38</v>
      </c>
      <c r="J1177" s="1">
        <v>2776.26</v>
      </c>
      <c r="K1177" s="8" t="str">
        <f t="shared" si="18"/>
        <v>Sep</v>
      </c>
    </row>
    <row r="1178" spans="1:11">
      <c r="A1178" s="1" t="s">
        <v>1202</v>
      </c>
      <c r="B1178" s="2">
        <v>45993</v>
      </c>
      <c r="C1178" s="1" t="s">
        <v>28</v>
      </c>
      <c r="D1178" s="1" t="s">
        <v>29</v>
      </c>
      <c r="E1178" s="1" t="s">
        <v>26</v>
      </c>
      <c r="F1178" s="1">
        <v>147</v>
      </c>
      <c r="G1178" s="1">
        <v>27.66</v>
      </c>
      <c r="H1178" s="1">
        <v>4066.02</v>
      </c>
      <c r="I1178" s="1">
        <v>2841.26</v>
      </c>
      <c r="J1178" s="1">
        <v>1224.76</v>
      </c>
      <c r="K1178" s="8" t="str">
        <f t="shared" si="18"/>
        <v>Dec</v>
      </c>
    </row>
    <row r="1179" spans="1:11">
      <c r="A1179" s="1" t="s">
        <v>1203</v>
      </c>
      <c r="B1179" s="2">
        <v>45724</v>
      </c>
      <c r="C1179" s="1" t="s">
        <v>28</v>
      </c>
      <c r="D1179" s="1" t="s">
        <v>13</v>
      </c>
      <c r="E1179" s="1" t="s">
        <v>23</v>
      </c>
      <c r="F1179" s="1">
        <v>178</v>
      </c>
      <c r="G1179" s="1">
        <v>22.78</v>
      </c>
      <c r="H1179" s="1">
        <v>4054.84</v>
      </c>
      <c r="I1179" s="1">
        <v>2774.59</v>
      </c>
      <c r="J1179" s="1">
        <v>1280.25</v>
      </c>
      <c r="K1179" s="8" t="str">
        <f t="shared" si="18"/>
        <v>Mar</v>
      </c>
    </row>
    <row r="1180" spans="1:11">
      <c r="A1180" s="1" t="s">
        <v>1204</v>
      </c>
      <c r="B1180" s="2">
        <v>45923</v>
      </c>
      <c r="C1180" s="1" t="s">
        <v>31</v>
      </c>
      <c r="D1180" s="1" t="s">
        <v>17</v>
      </c>
      <c r="E1180" s="1" t="s">
        <v>14</v>
      </c>
      <c r="F1180" s="1">
        <v>195</v>
      </c>
      <c r="G1180" s="1">
        <v>25.52</v>
      </c>
      <c r="H1180" s="1">
        <v>4976.3999999999996</v>
      </c>
      <c r="I1180" s="1">
        <v>3132.55</v>
      </c>
      <c r="J1180" s="1">
        <v>1843.85</v>
      </c>
      <c r="K1180" s="8" t="str">
        <f t="shared" si="18"/>
        <v>Sep</v>
      </c>
    </row>
    <row r="1181" spans="1:11">
      <c r="A1181" s="1" t="s">
        <v>1205</v>
      </c>
      <c r="B1181" s="2">
        <v>45969</v>
      </c>
      <c r="C1181" s="1" t="s">
        <v>16</v>
      </c>
      <c r="D1181" s="1" t="s">
        <v>17</v>
      </c>
      <c r="E1181" s="1" t="s">
        <v>18</v>
      </c>
      <c r="F1181" s="1">
        <v>56</v>
      </c>
      <c r="G1181" s="1">
        <v>23.22</v>
      </c>
      <c r="H1181" s="1">
        <v>1300.32</v>
      </c>
      <c r="I1181" s="1">
        <v>864.29</v>
      </c>
      <c r="J1181" s="1">
        <v>436.03</v>
      </c>
      <c r="K1181" s="8" t="str">
        <f t="shared" si="18"/>
        <v>Nov</v>
      </c>
    </row>
    <row r="1182" spans="1:11">
      <c r="A1182" s="1" t="s">
        <v>1206</v>
      </c>
      <c r="B1182" s="2">
        <v>45887</v>
      </c>
      <c r="C1182" s="1" t="s">
        <v>22</v>
      </c>
      <c r="D1182" s="1" t="s">
        <v>29</v>
      </c>
      <c r="E1182" s="1" t="s">
        <v>26</v>
      </c>
      <c r="F1182" s="1">
        <v>99</v>
      </c>
      <c r="G1182" s="1">
        <v>27.75</v>
      </c>
      <c r="H1182" s="1">
        <v>2747.25</v>
      </c>
      <c r="I1182" s="1">
        <v>1850</v>
      </c>
      <c r="J1182" s="1">
        <v>897.25</v>
      </c>
      <c r="K1182" s="8" t="str">
        <f t="shared" si="18"/>
        <v>Aug</v>
      </c>
    </row>
    <row r="1183" spans="1:11">
      <c r="A1183" s="1" t="s">
        <v>1207</v>
      </c>
      <c r="B1183" s="2">
        <v>45735</v>
      </c>
      <c r="C1183" s="1" t="s">
        <v>28</v>
      </c>
      <c r="D1183" s="1" t="s">
        <v>29</v>
      </c>
      <c r="E1183" s="1" t="s">
        <v>14</v>
      </c>
      <c r="F1183" s="1">
        <v>36</v>
      </c>
      <c r="G1183" s="1">
        <v>38.17</v>
      </c>
      <c r="H1183" s="1">
        <v>1374.12</v>
      </c>
      <c r="I1183" s="1">
        <v>903.05</v>
      </c>
      <c r="J1183" s="1">
        <v>471.07</v>
      </c>
      <c r="K1183" s="8" t="str">
        <f t="shared" si="18"/>
        <v>Mar</v>
      </c>
    </row>
    <row r="1184" spans="1:11">
      <c r="A1184" s="1" t="s">
        <v>1208</v>
      </c>
      <c r="B1184" s="2">
        <v>45687</v>
      </c>
      <c r="C1184" s="1" t="s">
        <v>31</v>
      </c>
      <c r="D1184" s="1" t="s">
        <v>29</v>
      </c>
      <c r="E1184" s="1" t="s">
        <v>18</v>
      </c>
      <c r="F1184" s="1">
        <v>130</v>
      </c>
      <c r="G1184" s="1">
        <v>35.090000000000003</v>
      </c>
      <c r="H1184" s="1">
        <v>4561.7</v>
      </c>
      <c r="I1184" s="1">
        <v>2956.95</v>
      </c>
      <c r="J1184" s="1">
        <v>1604.75</v>
      </c>
      <c r="K1184" s="8" t="str">
        <f t="shared" si="18"/>
        <v>Jan</v>
      </c>
    </row>
    <row r="1185" spans="1:11">
      <c r="A1185" s="1" t="s">
        <v>1209</v>
      </c>
      <c r="B1185" s="2">
        <v>45885</v>
      </c>
      <c r="C1185" s="1" t="s">
        <v>31</v>
      </c>
      <c r="D1185" s="1" t="s">
        <v>13</v>
      </c>
      <c r="E1185" s="1" t="s">
        <v>14</v>
      </c>
      <c r="F1185" s="1">
        <v>208</v>
      </c>
      <c r="G1185" s="1">
        <v>13.5</v>
      </c>
      <c r="H1185" s="1">
        <v>2808</v>
      </c>
      <c r="I1185" s="1">
        <v>1789.37</v>
      </c>
      <c r="J1185" s="1">
        <v>1018.63</v>
      </c>
      <c r="K1185" s="8" t="str">
        <f t="shared" si="18"/>
        <v>Aug</v>
      </c>
    </row>
    <row r="1186" spans="1:11">
      <c r="A1186" s="1" t="s">
        <v>1210</v>
      </c>
      <c r="B1186" s="2">
        <v>45961</v>
      </c>
      <c r="C1186" s="1" t="s">
        <v>28</v>
      </c>
      <c r="D1186" s="1" t="s">
        <v>29</v>
      </c>
      <c r="E1186" s="1" t="s">
        <v>20</v>
      </c>
      <c r="F1186" s="1">
        <v>245</v>
      </c>
      <c r="G1186" s="1">
        <v>37.450000000000003</v>
      </c>
      <c r="H1186" s="1">
        <v>9175.25</v>
      </c>
      <c r="I1186" s="1">
        <v>7281.69</v>
      </c>
      <c r="J1186" s="1">
        <v>1893.56</v>
      </c>
      <c r="K1186" s="8" t="str">
        <f t="shared" si="18"/>
        <v>Oct</v>
      </c>
    </row>
    <row r="1187" spans="1:11">
      <c r="A1187" s="1" t="s">
        <v>1211</v>
      </c>
      <c r="B1187" s="2">
        <v>45693</v>
      </c>
      <c r="C1187" s="1" t="s">
        <v>12</v>
      </c>
      <c r="D1187" s="1" t="s">
        <v>13</v>
      </c>
      <c r="E1187" s="1" t="s">
        <v>26</v>
      </c>
      <c r="F1187" s="1">
        <v>237</v>
      </c>
      <c r="G1187" s="1">
        <v>29.97</v>
      </c>
      <c r="H1187" s="1">
        <v>7102.89</v>
      </c>
      <c r="I1187" s="1">
        <v>4934.3599999999997</v>
      </c>
      <c r="J1187" s="1">
        <v>2168.5300000000002</v>
      </c>
      <c r="K1187" s="8" t="str">
        <f t="shared" si="18"/>
        <v>Feb</v>
      </c>
    </row>
    <row r="1188" spans="1:11">
      <c r="A1188" s="1" t="s">
        <v>1212</v>
      </c>
      <c r="B1188" s="2">
        <v>46014</v>
      </c>
      <c r="C1188" s="1" t="s">
        <v>36</v>
      </c>
      <c r="D1188" s="1" t="s">
        <v>29</v>
      </c>
      <c r="E1188" s="1" t="s">
        <v>26</v>
      </c>
      <c r="F1188" s="1">
        <v>14</v>
      </c>
      <c r="G1188" s="1">
        <v>22.63</v>
      </c>
      <c r="H1188" s="1">
        <v>316.82</v>
      </c>
      <c r="I1188" s="1">
        <v>205.91</v>
      </c>
      <c r="J1188" s="1">
        <v>110.91</v>
      </c>
      <c r="K1188" s="8" t="str">
        <f t="shared" si="18"/>
        <v>Dec</v>
      </c>
    </row>
    <row r="1189" spans="1:11">
      <c r="A1189" s="1" t="s">
        <v>1213</v>
      </c>
      <c r="B1189" s="2">
        <v>45958</v>
      </c>
      <c r="C1189" s="1" t="s">
        <v>31</v>
      </c>
      <c r="D1189" s="1" t="s">
        <v>13</v>
      </c>
      <c r="E1189" s="1" t="s">
        <v>18</v>
      </c>
      <c r="F1189" s="1">
        <v>127</v>
      </c>
      <c r="G1189" s="1">
        <v>23.19</v>
      </c>
      <c r="H1189" s="1">
        <v>2945.13</v>
      </c>
      <c r="I1189" s="1">
        <v>1895.11</v>
      </c>
      <c r="J1189" s="1">
        <v>1050.02</v>
      </c>
      <c r="K1189" s="8" t="str">
        <f t="shared" si="18"/>
        <v>Oct</v>
      </c>
    </row>
    <row r="1190" spans="1:11">
      <c r="A1190" s="1" t="s">
        <v>1214</v>
      </c>
      <c r="B1190" s="2">
        <v>45971</v>
      </c>
      <c r="C1190" s="1" t="s">
        <v>36</v>
      </c>
      <c r="D1190" s="1" t="s">
        <v>13</v>
      </c>
      <c r="E1190" s="1" t="s">
        <v>14</v>
      </c>
      <c r="F1190" s="1">
        <v>103</v>
      </c>
      <c r="G1190" s="1">
        <v>31.84</v>
      </c>
      <c r="H1190" s="1">
        <v>3279.52</v>
      </c>
      <c r="I1190" s="1">
        <v>2307.41</v>
      </c>
      <c r="J1190" s="1">
        <v>972.11</v>
      </c>
      <c r="K1190" s="8" t="str">
        <f t="shared" si="18"/>
        <v>Nov</v>
      </c>
    </row>
    <row r="1191" spans="1:11">
      <c r="A1191" s="1" t="s">
        <v>1215</v>
      </c>
      <c r="B1191" s="2">
        <v>45968</v>
      </c>
      <c r="C1191" s="1" t="s">
        <v>12</v>
      </c>
      <c r="D1191" s="1" t="s">
        <v>13</v>
      </c>
      <c r="E1191" s="1" t="s">
        <v>33</v>
      </c>
      <c r="F1191" s="1">
        <v>19</v>
      </c>
      <c r="G1191" s="1">
        <v>13.32</v>
      </c>
      <c r="H1191" s="1">
        <v>253.08</v>
      </c>
      <c r="I1191" s="1">
        <v>172.62</v>
      </c>
      <c r="J1191" s="1">
        <v>80.459999999999994</v>
      </c>
      <c r="K1191" s="8" t="str">
        <f t="shared" si="18"/>
        <v>Nov</v>
      </c>
    </row>
    <row r="1192" spans="1:11">
      <c r="A1192" s="1" t="s">
        <v>1216</v>
      </c>
      <c r="B1192" s="2">
        <v>45914</v>
      </c>
      <c r="C1192" s="1" t="s">
        <v>31</v>
      </c>
      <c r="D1192" s="1" t="s">
        <v>29</v>
      </c>
      <c r="E1192" s="1" t="s">
        <v>20</v>
      </c>
      <c r="F1192" s="1">
        <v>185</v>
      </c>
      <c r="G1192" s="1">
        <v>35.29</v>
      </c>
      <c r="H1192" s="1">
        <v>6528.65</v>
      </c>
      <c r="I1192" s="1">
        <v>4502.07</v>
      </c>
      <c r="J1192" s="1">
        <v>2026.58</v>
      </c>
      <c r="K1192" s="8" t="str">
        <f t="shared" si="18"/>
        <v>Sep</v>
      </c>
    </row>
    <row r="1193" spans="1:11">
      <c r="A1193" s="1" t="s">
        <v>1217</v>
      </c>
      <c r="B1193" s="2">
        <v>45745</v>
      </c>
      <c r="C1193" s="1" t="s">
        <v>12</v>
      </c>
      <c r="D1193" s="1" t="s">
        <v>17</v>
      </c>
      <c r="E1193" s="1" t="s">
        <v>14</v>
      </c>
      <c r="F1193" s="1">
        <v>166</v>
      </c>
      <c r="G1193" s="1">
        <v>26.07</v>
      </c>
      <c r="H1193" s="1">
        <v>4327.62</v>
      </c>
      <c r="I1193" s="1">
        <v>2725.4</v>
      </c>
      <c r="J1193" s="1">
        <v>1602.22</v>
      </c>
      <c r="K1193" s="8" t="str">
        <f t="shared" si="18"/>
        <v>Mar</v>
      </c>
    </row>
    <row r="1194" spans="1:11">
      <c r="A1194" s="1" t="s">
        <v>1218</v>
      </c>
      <c r="B1194" s="2">
        <v>45957</v>
      </c>
      <c r="C1194" s="1" t="s">
        <v>31</v>
      </c>
      <c r="D1194" s="1" t="s">
        <v>17</v>
      </c>
      <c r="E1194" s="1" t="s">
        <v>33</v>
      </c>
      <c r="F1194" s="1">
        <v>151</v>
      </c>
      <c r="G1194" s="1">
        <v>23.4</v>
      </c>
      <c r="H1194" s="1">
        <v>3533.4</v>
      </c>
      <c r="I1194" s="1">
        <v>2632.93</v>
      </c>
      <c r="J1194" s="1">
        <v>900.47</v>
      </c>
      <c r="K1194" s="8" t="str">
        <f t="shared" si="18"/>
        <v>Oct</v>
      </c>
    </row>
    <row r="1195" spans="1:11">
      <c r="A1195" s="1" t="s">
        <v>1219</v>
      </c>
      <c r="B1195" s="2">
        <v>45882</v>
      </c>
      <c r="C1195" s="1" t="s">
        <v>22</v>
      </c>
      <c r="D1195" s="1" t="s">
        <v>17</v>
      </c>
      <c r="E1195" s="1" t="s">
        <v>20</v>
      </c>
      <c r="F1195" s="1">
        <v>118</v>
      </c>
      <c r="G1195" s="1">
        <v>37.24</v>
      </c>
      <c r="H1195" s="1">
        <v>4394.32</v>
      </c>
      <c r="I1195" s="1">
        <v>2781.97</v>
      </c>
      <c r="J1195" s="1">
        <v>1612.35</v>
      </c>
      <c r="K1195" s="8" t="str">
        <f t="shared" si="18"/>
        <v>Aug</v>
      </c>
    </row>
    <row r="1196" spans="1:11">
      <c r="A1196" s="1" t="s">
        <v>1220</v>
      </c>
      <c r="B1196" s="2">
        <v>45767</v>
      </c>
      <c r="C1196" s="1" t="s">
        <v>31</v>
      </c>
      <c r="D1196" s="1" t="s">
        <v>17</v>
      </c>
      <c r="E1196" s="1" t="s">
        <v>18</v>
      </c>
      <c r="F1196" s="1">
        <v>180</v>
      </c>
      <c r="G1196" s="1">
        <v>15.2</v>
      </c>
      <c r="H1196" s="1">
        <v>2736</v>
      </c>
      <c r="I1196" s="1">
        <v>2089.5500000000002</v>
      </c>
      <c r="J1196" s="1">
        <v>646.45000000000005</v>
      </c>
      <c r="K1196" s="8" t="str">
        <f t="shared" si="18"/>
        <v>Apr</v>
      </c>
    </row>
    <row r="1197" spans="1:11">
      <c r="A1197" s="1" t="s">
        <v>1221</v>
      </c>
      <c r="B1197" s="2">
        <v>45860</v>
      </c>
      <c r="C1197" s="1" t="s">
        <v>28</v>
      </c>
      <c r="D1197" s="1" t="s">
        <v>29</v>
      </c>
      <c r="E1197" s="1" t="s">
        <v>14</v>
      </c>
      <c r="F1197" s="1">
        <v>89</v>
      </c>
      <c r="G1197" s="1">
        <v>33.229999999999997</v>
      </c>
      <c r="H1197" s="1">
        <v>2957.47</v>
      </c>
      <c r="I1197" s="1">
        <v>2308.71</v>
      </c>
      <c r="J1197" s="1">
        <v>648.76</v>
      </c>
      <c r="K1197" s="8" t="str">
        <f t="shared" si="18"/>
        <v>Jul</v>
      </c>
    </row>
    <row r="1198" spans="1:11">
      <c r="A1198" s="1" t="s">
        <v>1222</v>
      </c>
      <c r="B1198" s="2">
        <v>45748</v>
      </c>
      <c r="C1198" s="1" t="s">
        <v>31</v>
      </c>
      <c r="D1198" s="1" t="s">
        <v>13</v>
      </c>
      <c r="E1198" s="1" t="s">
        <v>20</v>
      </c>
      <c r="F1198" s="1">
        <v>278</v>
      </c>
      <c r="G1198" s="1">
        <v>20.010000000000002</v>
      </c>
      <c r="H1198" s="1">
        <v>5562.78</v>
      </c>
      <c r="I1198" s="1">
        <v>3567.83</v>
      </c>
      <c r="J1198" s="1">
        <v>1994.95</v>
      </c>
      <c r="K1198" s="8" t="str">
        <f t="shared" si="18"/>
        <v>Apr</v>
      </c>
    </row>
    <row r="1199" spans="1:11">
      <c r="A1199" s="1" t="s">
        <v>1223</v>
      </c>
      <c r="B1199" s="2">
        <v>45842</v>
      </c>
      <c r="C1199" s="1" t="s">
        <v>22</v>
      </c>
      <c r="D1199" s="1" t="s">
        <v>13</v>
      </c>
      <c r="E1199" s="1" t="s">
        <v>33</v>
      </c>
      <c r="F1199" s="1">
        <v>245</v>
      </c>
      <c r="G1199" s="1">
        <v>25.39</v>
      </c>
      <c r="H1199" s="1">
        <v>6220.55</v>
      </c>
      <c r="I1199" s="1">
        <v>4475.38</v>
      </c>
      <c r="J1199" s="1">
        <v>1745.17</v>
      </c>
      <c r="K1199" s="8" t="str">
        <f t="shared" si="18"/>
        <v>Jul</v>
      </c>
    </row>
    <row r="1200" spans="1:11">
      <c r="A1200" s="1" t="s">
        <v>1224</v>
      </c>
      <c r="B1200" s="2">
        <v>45830</v>
      </c>
      <c r="C1200" s="1" t="s">
        <v>36</v>
      </c>
      <c r="D1200" s="1" t="s">
        <v>17</v>
      </c>
      <c r="E1200" s="1" t="s">
        <v>20</v>
      </c>
      <c r="F1200" s="1">
        <v>288</v>
      </c>
      <c r="G1200" s="1">
        <v>17.96</v>
      </c>
      <c r="H1200" s="1">
        <v>5172.4799999999996</v>
      </c>
      <c r="I1200" s="1">
        <v>3800.39</v>
      </c>
      <c r="J1200" s="1">
        <v>1372.09</v>
      </c>
      <c r="K1200" s="8" t="str">
        <f t="shared" si="18"/>
        <v>Jun</v>
      </c>
    </row>
    <row r="1201" spans="1:11">
      <c r="A1201" s="1" t="s">
        <v>1225</v>
      </c>
      <c r="B1201" s="2">
        <v>45693</v>
      </c>
      <c r="C1201" s="1" t="s">
        <v>31</v>
      </c>
      <c r="D1201" s="1" t="s">
        <v>29</v>
      </c>
      <c r="E1201" s="1" t="s">
        <v>18</v>
      </c>
      <c r="F1201" s="1">
        <v>143</v>
      </c>
      <c r="G1201" s="1">
        <v>12.74</v>
      </c>
      <c r="H1201" s="1">
        <v>1821.82</v>
      </c>
      <c r="I1201" s="1">
        <v>1132.8399999999999</v>
      </c>
      <c r="J1201" s="1">
        <v>688.98</v>
      </c>
      <c r="K1201" s="8" t="str">
        <f t="shared" si="18"/>
        <v>Feb</v>
      </c>
    </row>
    <row r="1202" spans="1:11">
      <c r="A1202" s="1" t="s">
        <v>1226</v>
      </c>
      <c r="B1202" s="2">
        <v>45825</v>
      </c>
      <c r="C1202" s="1" t="s">
        <v>31</v>
      </c>
      <c r="D1202" s="1" t="s">
        <v>29</v>
      </c>
      <c r="E1202" s="1" t="s">
        <v>33</v>
      </c>
      <c r="F1202" s="1">
        <v>137</v>
      </c>
      <c r="G1202" s="1">
        <v>39.57</v>
      </c>
      <c r="H1202" s="1">
        <v>5421.09</v>
      </c>
      <c r="I1202" s="1">
        <v>4146.87</v>
      </c>
      <c r="J1202" s="1">
        <v>1274.22</v>
      </c>
      <c r="K1202" s="8" t="str">
        <f t="shared" si="18"/>
        <v>Jun</v>
      </c>
    </row>
    <row r="1203" spans="1:11">
      <c r="A1203" s="1" t="s">
        <v>1227</v>
      </c>
      <c r="B1203" s="2">
        <v>45685</v>
      </c>
      <c r="C1203" s="1" t="s">
        <v>16</v>
      </c>
      <c r="D1203" s="1" t="s">
        <v>13</v>
      </c>
      <c r="E1203" s="1" t="s">
        <v>20</v>
      </c>
      <c r="F1203" s="1">
        <v>299</v>
      </c>
      <c r="G1203" s="1">
        <v>29.62</v>
      </c>
      <c r="H1203" s="1">
        <v>8856.3799999999992</v>
      </c>
      <c r="I1203" s="1">
        <v>5514.9</v>
      </c>
      <c r="J1203" s="1">
        <v>3341.48</v>
      </c>
      <c r="K1203" s="8" t="str">
        <f t="shared" si="18"/>
        <v>Jan</v>
      </c>
    </row>
    <row r="1204" spans="1:11">
      <c r="A1204" s="1" t="s">
        <v>1228</v>
      </c>
      <c r="B1204" s="2">
        <v>45947</v>
      </c>
      <c r="C1204" s="1" t="s">
        <v>36</v>
      </c>
      <c r="D1204" s="1" t="s">
        <v>29</v>
      </c>
      <c r="E1204" s="1" t="s">
        <v>18</v>
      </c>
      <c r="F1204" s="1">
        <v>142</v>
      </c>
      <c r="G1204" s="1">
        <v>35.97</v>
      </c>
      <c r="H1204" s="1">
        <v>5107.74</v>
      </c>
      <c r="I1204" s="1">
        <v>3144.46</v>
      </c>
      <c r="J1204" s="1">
        <v>1963.28</v>
      </c>
      <c r="K1204" s="8" t="str">
        <f t="shared" si="18"/>
        <v>Oct</v>
      </c>
    </row>
    <row r="1205" spans="1:11">
      <c r="A1205" s="1" t="s">
        <v>1229</v>
      </c>
      <c r="B1205" s="2">
        <v>45756</v>
      </c>
      <c r="C1205" s="1" t="s">
        <v>31</v>
      </c>
      <c r="D1205" s="1" t="s">
        <v>17</v>
      </c>
      <c r="E1205" s="1" t="s">
        <v>26</v>
      </c>
      <c r="F1205" s="1">
        <v>133</v>
      </c>
      <c r="G1205" s="1">
        <v>24.66</v>
      </c>
      <c r="H1205" s="1">
        <v>3279.78</v>
      </c>
      <c r="I1205" s="1">
        <v>2324.89</v>
      </c>
      <c r="J1205" s="1">
        <v>954.89</v>
      </c>
      <c r="K1205" s="8" t="str">
        <f t="shared" si="18"/>
        <v>Apr</v>
      </c>
    </row>
    <row r="1206" spans="1:11">
      <c r="A1206" s="1" t="s">
        <v>1230</v>
      </c>
      <c r="B1206" s="2">
        <v>45814</v>
      </c>
      <c r="C1206" s="1" t="s">
        <v>28</v>
      </c>
      <c r="D1206" s="1" t="s">
        <v>29</v>
      </c>
      <c r="E1206" s="1" t="s">
        <v>14</v>
      </c>
      <c r="F1206" s="1">
        <v>141</v>
      </c>
      <c r="G1206" s="1">
        <v>39.729999999999997</v>
      </c>
      <c r="H1206" s="1">
        <v>5601.93</v>
      </c>
      <c r="I1206" s="1">
        <v>4220.51</v>
      </c>
      <c r="J1206" s="1">
        <v>1381.42</v>
      </c>
      <c r="K1206" s="8" t="str">
        <f t="shared" si="18"/>
        <v>Jun</v>
      </c>
    </row>
    <row r="1207" spans="1:11">
      <c r="A1207" s="1" t="s">
        <v>1231</v>
      </c>
      <c r="B1207" s="2">
        <v>45941</v>
      </c>
      <c r="C1207" s="1" t="s">
        <v>12</v>
      </c>
      <c r="D1207" s="1" t="s">
        <v>29</v>
      </c>
      <c r="E1207" s="1" t="s">
        <v>33</v>
      </c>
      <c r="F1207" s="1">
        <v>162</v>
      </c>
      <c r="G1207" s="1">
        <v>31.28</v>
      </c>
      <c r="H1207" s="1">
        <v>5067.3599999999997</v>
      </c>
      <c r="I1207" s="1">
        <v>3796.92</v>
      </c>
      <c r="J1207" s="1">
        <v>1270.44</v>
      </c>
      <c r="K1207" s="8" t="str">
        <f t="shared" si="18"/>
        <v>Oct</v>
      </c>
    </row>
    <row r="1208" spans="1:11">
      <c r="A1208" s="1" t="s">
        <v>1232</v>
      </c>
      <c r="B1208" s="2">
        <v>46007</v>
      </c>
      <c r="C1208" s="1" t="s">
        <v>16</v>
      </c>
      <c r="D1208" s="1" t="s">
        <v>13</v>
      </c>
      <c r="E1208" s="1" t="s">
        <v>26</v>
      </c>
      <c r="F1208" s="1">
        <v>175</v>
      </c>
      <c r="G1208" s="1">
        <v>18.46</v>
      </c>
      <c r="H1208" s="1">
        <v>3230.5</v>
      </c>
      <c r="I1208" s="1">
        <v>2114.34</v>
      </c>
      <c r="J1208" s="1">
        <v>1116.1600000000001</v>
      </c>
      <c r="K1208" s="8" t="str">
        <f t="shared" si="18"/>
        <v>Dec</v>
      </c>
    </row>
    <row r="1209" spans="1:11">
      <c r="A1209" s="1" t="s">
        <v>1233</v>
      </c>
      <c r="B1209" s="2">
        <v>45701</v>
      </c>
      <c r="C1209" s="1" t="s">
        <v>28</v>
      </c>
      <c r="D1209" s="1" t="s">
        <v>17</v>
      </c>
      <c r="E1209" s="1" t="s">
        <v>14</v>
      </c>
      <c r="F1209" s="1">
        <v>205</v>
      </c>
      <c r="G1209" s="1">
        <v>20.5</v>
      </c>
      <c r="H1209" s="1">
        <v>4202.5</v>
      </c>
      <c r="I1209" s="1">
        <v>2678.43</v>
      </c>
      <c r="J1209" s="1">
        <v>1524.07</v>
      </c>
      <c r="K1209" s="8" t="str">
        <f t="shared" si="18"/>
        <v>Feb</v>
      </c>
    </row>
    <row r="1210" spans="1:11">
      <c r="A1210" s="1" t="s">
        <v>1234</v>
      </c>
      <c r="B1210" s="2">
        <v>45784</v>
      </c>
      <c r="C1210" s="1" t="s">
        <v>12</v>
      </c>
      <c r="D1210" s="1" t="s">
        <v>29</v>
      </c>
      <c r="E1210" s="1" t="s">
        <v>14</v>
      </c>
      <c r="F1210" s="1">
        <v>94</v>
      </c>
      <c r="G1210" s="1">
        <v>35.97</v>
      </c>
      <c r="H1210" s="1">
        <v>3381.18</v>
      </c>
      <c r="I1210" s="1">
        <v>2678.37</v>
      </c>
      <c r="J1210" s="1">
        <v>702.81</v>
      </c>
      <c r="K1210" s="8" t="str">
        <f t="shared" si="18"/>
        <v>May</v>
      </c>
    </row>
    <row r="1211" spans="1:11">
      <c r="A1211" s="1" t="s">
        <v>1235</v>
      </c>
      <c r="B1211" s="2">
        <v>45749</v>
      </c>
      <c r="C1211" s="1" t="s">
        <v>31</v>
      </c>
      <c r="D1211" s="1" t="s">
        <v>29</v>
      </c>
      <c r="E1211" s="1" t="s">
        <v>23</v>
      </c>
      <c r="F1211" s="1">
        <v>66</v>
      </c>
      <c r="G1211" s="1">
        <v>26.58</v>
      </c>
      <c r="H1211" s="1">
        <v>1754.28</v>
      </c>
      <c r="I1211" s="1">
        <v>1063.33</v>
      </c>
      <c r="J1211" s="1">
        <v>690.95</v>
      </c>
      <c r="K1211" s="8" t="str">
        <f t="shared" si="18"/>
        <v>Apr</v>
      </c>
    </row>
    <row r="1212" spans="1:11">
      <c r="A1212" s="1" t="s">
        <v>1236</v>
      </c>
      <c r="B1212" s="2">
        <v>45901</v>
      </c>
      <c r="C1212" s="1" t="s">
        <v>12</v>
      </c>
      <c r="D1212" s="1" t="s">
        <v>17</v>
      </c>
      <c r="E1212" s="1" t="s">
        <v>20</v>
      </c>
      <c r="F1212" s="1">
        <v>79</v>
      </c>
      <c r="G1212" s="1">
        <v>26.61</v>
      </c>
      <c r="H1212" s="1">
        <v>2102.19</v>
      </c>
      <c r="I1212" s="1">
        <v>1566.97</v>
      </c>
      <c r="J1212" s="1">
        <v>535.22</v>
      </c>
      <c r="K1212" s="8" t="str">
        <f t="shared" si="18"/>
        <v>Sep</v>
      </c>
    </row>
    <row r="1213" spans="1:11">
      <c r="A1213" s="1" t="s">
        <v>1237</v>
      </c>
      <c r="B1213" s="2">
        <v>45679</v>
      </c>
      <c r="C1213" s="1" t="s">
        <v>31</v>
      </c>
      <c r="D1213" s="1" t="s">
        <v>13</v>
      </c>
      <c r="E1213" s="1" t="s">
        <v>26</v>
      </c>
      <c r="F1213" s="1">
        <v>200</v>
      </c>
      <c r="G1213" s="1">
        <v>34.93</v>
      </c>
      <c r="H1213" s="1">
        <v>6986</v>
      </c>
      <c r="I1213" s="1">
        <v>4217.3999999999996</v>
      </c>
      <c r="J1213" s="1">
        <v>2768.6</v>
      </c>
      <c r="K1213" s="8" t="str">
        <f t="shared" si="18"/>
        <v>Jan</v>
      </c>
    </row>
    <row r="1214" spans="1:11">
      <c r="A1214" s="1" t="s">
        <v>1238</v>
      </c>
      <c r="B1214" s="2">
        <v>45966</v>
      </c>
      <c r="C1214" s="1" t="s">
        <v>31</v>
      </c>
      <c r="D1214" s="1" t="s">
        <v>29</v>
      </c>
      <c r="E1214" s="1" t="s">
        <v>26</v>
      </c>
      <c r="F1214" s="1">
        <v>40</v>
      </c>
      <c r="G1214" s="1">
        <v>33.46</v>
      </c>
      <c r="H1214" s="1">
        <v>1338.4</v>
      </c>
      <c r="I1214" s="1">
        <v>837.52</v>
      </c>
      <c r="J1214" s="1">
        <v>500.88</v>
      </c>
      <c r="K1214" s="8" t="str">
        <f t="shared" si="18"/>
        <v>Nov</v>
      </c>
    </row>
    <row r="1215" spans="1:11">
      <c r="A1215" s="1" t="s">
        <v>1239</v>
      </c>
      <c r="B1215" s="2">
        <v>45917</v>
      </c>
      <c r="C1215" s="1" t="s">
        <v>22</v>
      </c>
      <c r="D1215" s="1" t="s">
        <v>29</v>
      </c>
      <c r="E1215" s="1" t="s">
        <v>33</v>
      </c>
      <c r="F1215" s="1">
        <v>90</v>
      </c>
      <c r="G1215" s="1">
        <v>33.82</v>
      </c>
      <c r="H1215" s="1">
        <v>3043.8</v>
      </c>
      <c r="I1215" s="1">
        <v>2074.9899999999998</v>
      </c>
      <c r="J1215" s="1">
        <v>968.81</v>
      </c>
      <c r="K1215" s="8" t="str">
        <f t="shared" si="18"/>
        <v>Sep</v>
      </c>
    </row>
    <row r="1216" spans="1:11">
      <c r="A1216" s="1" t="s">
        <v>1240</v>
      </c>
      <c r="B1216" s="2">
        <v>45809</v>
      </c>
      <c r="C1216" s="1" t="s">
        <v>28</v>
      </c>
      <c r="D1216" s="1" t="s">
        <v>17</v>
      </c>
      <c r="E1216" s="1" t="s">
        <v>20</v>
      </c>
      <c r="F1216" s="1">
        <v>173</v>
      </c>
      <c r="G1216" s="1">
        <v>15.27</v>
      </c>
      <c r="H1216" s="1">
        <v>2641.71</v>
      </c>
      <c r="I1216" s="1">
        <v>1822.29</v>
      </c>
      <c r="J1216" s="1">
        <v>819.42</v>
      </c>
      <c r="K1216" s="8" t="str">
        <f t="shared" si="18"/>
        <v>Jun</v>
      </c>
    </row>
    <row r="1217" spans="1:11">
      <c r="A1217" s="1" t="s">
        <v>1241</v>
      </c>
      <c r="B1217" s="2">
        <v>45722</v>
      </c>
      <c r="C1217" s="1" t="s">
        <v>12</v>
      </c>
      <c r="D1217" s="1" t="s">
        <v>13</v>
      </c>
      <c r="E1217" s="1" t="s">
        <v>18</v>
      </c>
      <c r="F1217" s="1">
        <v>165</v>
      </c>
      <c r="G1217" s="1">
        <v>21.55</v>
      </c>
      <c r="H1217" s="1">
        <v>3555.75</v>
      </c>
      <c r="I1217" s="1">
        <v>2525.59</v>
      </c>
      <c r="J1217" s="1">
        <v>1030.1600000000001</v>
      </c>
      <c r="K1217" s="8" t="str">
        <f t="shared" si="18"/>
        <v>Mar</v>
      </c>
    </row>
    <row r="1218" spans="1:11">
      <c r="A1218" s="1" t="s">
        <v>1242</v>
      </c>
      <c r="B1218" s="2">
        <v>45847</v>
      </c>
      <c r="C1218" s="1" t="s">
        <v>28</v>
      </c>
      <c r="D1218" s="1" t="s">
        <v>29</v>
      </c>
      <c r="E1218" s="1" t="s">
        <v>26</v>
      </c>
      <c r="F1218" s="1">
        <v>54</v>
      </c>
      <c r="G1218" s="1">
        <v>25.88</v>
      </c>
      <c r="H1218" s="1">
        <v>1397.52</v>
      </c>
      <c r="I1218" s="1">
        <v>1007.91</v>
      </c>
      <c r="J1218" s="1">
        <v>389.61</v>
      </c>
      <c r="K1218" s="8" t="str">
        <f t="shared" ref="K1218:K1281" si="19">TEXT(B1218,"mmm")</f>
        <v>Jul</v>
      </c>
    </row>
    <row r="1219" spans="1:11">
      <c r="A1219" s="1" t="s">
        <v>1243</v>
      </c>
      <c r="B1219" s="2">
        <v>45932</v>
      </c>
      <c r="C1219" s="1" t="s">
        <v>16</v>
      </c>
      <c r="D1219" s="1" t="s">
        <v>29</v>
      </c>
      <c r="E1219" s="1" t="s">
        <v>14</v>
      </c>
      <c r="F1219" s="1">
        <v>293</v>
      </c>
      <c r="G1219" s="1">
        <v>33.630000000000003</v>
      </c>
      <c r="H1219" s="1">
        <v>9853.59</v>
      </c>
      <c r="I1219" s="1">
        <v>7040.44</v>
      </c>
      <c r="J1219" s="1">
        <v>2813.15</v>
      </c>
      <c r="K1219" s="8" t="str">
        <f t="shared" si="19"/>
        <v>Oct</v>
      </c>
    </row>
    <row r="1220" spans="1:11">
      <c r="A1220" s="1" t="s">
        <v>1244</v>
      </c>
      <c r="B1220" s="2">
        <v>45970</v>
      </c>
      <c r="C1220" s="1" t="s">
        <v>28</v>
      </c>
      <c r="D1220" s="1" t="s">
        <v>13</v>
      </c>
      <c r="E1220" s="1" t="s">
        <v>23</v>
      </c>
      <c r="F1220" s="1">
        <v>59</v>
      </c>
      <c r="G1220" s="1">
        <v>14.56</v>
      </c>
      <c r="H1220" s="1">
        <v>859.04</v>
      </c>
      <c r="I1220" s="1">
        <v>571.83000000000004</v>
      </c>
      <c r="J1220" s="1">
        <v>287.20999999999998</v>
      </c>
      <c r="K1220" s="8" t="str">
        <f t="shared" si="19"/>
        <v>Nov</v>
      </c>
    </row>
    <row r="1221" spans="1:11">
      <c r="A1221" s="1" t="s">
        <v>1245</v>
      </c>
      <c r="B1221" s="2">
        <v>45708</v>
      </c>
      <c r="C1221" s="1" t="s">
        <v>28</v>
      </c>
      <c r="D1221" s="1" t="s">
        <v>17</v>
      </c>
      <c r="E1221" s="1" t="s">
        <v>14</v>
      </c>
      <c r="F1221" s="1">
        <v>61</v>
      </c>
      <c r="G1221" s="1">
        <v>15.4</v>
      </c>
      <c r="H1221" s="1">
        <v>939.4</v>
      </c>
      <c r="I1221" s="1">
        <v>739.7</v>
      </c>
      <c r="J1221" s="1">
        <v>199.7</v>
      </c>
      <c r="K1221" s="8" t="str">
        <f t="shared" si="19"/>
        <v>Feb</v>
      </c>
    </row>
    <row r="1222" spans="1:11">
      <c r="A1222" s="1" t="s">
        <v>1246</v>
      </c>
      <c r="B1222" s="2">
        <v>45686</v>
      </c>
      <c r="C1222" s="1" t="s">
        <v>16</v>
      </c>
      <c r="D1222" s="1" t="s">
        <v>17</v>
      </c>
      <c r="E1222" s="1" t="s">
        <v>14</v>
      </c>
      <c r="F1222" s="1">
        <v>84</v>
      </c>
      <c r="G1222" s="1">
        <v>32.450000000000003</v>
      </c>
      <c r="H1222" s="1">
        <v>2725.8</v>
      </c>
      <c r="I1222" s="1">
        <v>1784.55</v>
      </c>
      <c r="J1222" s="1">
        <v>941.25</v>
      </c>
      <c r="K1222" s="8" t="str">
        <f t="shared" si="19"/>
        <v>Jan</v>
      </c>
    </row>
    <row r="1223" spans="1:11">
      <c r="A1223" s="1" t="s">
        <v>1247</v>
      </c>
      <c r="B1223" s="2">
        <v>45833</v>
      </c>
      <c r="C1223" s="1" t="s">
        <v>36</v>
      </c>
      <c r="D1223" s="1" t="s">
        <v>13</v>
      </c>
      <c r="E1223" s="1" t="s">
        <v>14</v>
      </c>
      <c r="F1223" s="1">
        <v>88</v>
      </c>
      <c r="G1223" s="1">
        <v>37.72</v>
      </c>
      <c r="H1223" s="1">
        <v>3319.36</v>
      </c>
      <c r="I1223" s="1">
        <v>2294.91</v>
      </c>
      <c r="J1223" s="1">
        <v>1024.45</v>
      </c>
      <c r="K1223" s="8" t="str">
        <f t="shared" si="19"/>
        <v>Jun</v>
      </c>
    </row>
    <row r="1224" spans="1:11">
      <c r="A1224" s="1" t="s">
        <v>1248</v>
      </c>
      <c r="B1224" s="2">
        <v>45813</v>
      </c>
      <c r="C1224" s="1" t="s">
        <v>31</v>
      </c>
      <c r="D1224" s="1" t="s">
        <v>13</v>
      </c>
      <c r="E1224" s="1" t="s">
        <v>14</v>
      </c>
      <c r="F1224" s="1">
        <v>174</v>
      </c>
      <c r="G1224" s="1">
        <v>31.27</v>
      </c>
      <c r="H1224" s="1">
        <v>5440.98</v>
      </c>
      <c r="I1224" s="1">
        <v>3374.8</v>
      </c>
      <c r="J1224" s="1">
        <v>2066.1799999999998</v>
      </c>
      <c r="K1224" s="8" t="str">
        <f t="shared" si="19"/>
        <v>Jun</v>
      </c>
    </row>
    <row r="1225" spans="1:11">
      <c r="A1225" s="1" t="s">
        <v>1249</v>
      </c>
      <c r="B1225" s="2">
        <v>46022</v>
      </c>
      <c r="C1225" s="1" t="s">
        <v>12</v>
      </c>
      <c r="D1225" s="1" t="s">
        <v>29</v>
      </c>
      <c r="E1225" s="1" t="s">
        <v>23</v>
      </c>
      <c r="F1225" s="1">
        <v>281</v>
      </c>
      <c r="G1225" s="1">
        <v>22.11</v>
      </c>
      <c r="H1225" s="1">
        <v>6212.91</v>
      </c>
      <c r="I1225" s="1">
        <v>4798.1899999999996</v>
      </c>
      <c r="J1225" s="1">
        <v>1414.72</v>
      </c>
      <c r="K1225" s="8" t="str">
        <f t="shared" si="19"/>
        <v>Dec</v>
      </c>
    </row>
    <row r="1226" spans="1:11">
      <c r="A1226" s="1" t="s">
        <v>1250</v>
      </c>
      <c r="B1226" s="2">
        <v>45843</v>
      </c>
      <c r="C1226" s="1" t="s">
        <v>31</v>
      </c>
      <c r="D1226" s="1" t="s">
        <v>29</v>
      </c>
      <c r="E1226" s="1" t="s">
        <v>26</v>
      </c>
      <c r="F1226" s="1">
        <v>240</v>
      </c>
      <c r="G1226" s="1">
        <v>18.21</v>
      </c>
      <c r="H1226" s="1">
        <v>4370.3999999999996</v>
      </c>
      <c r="I1226" s="1">
        <v>3395.77</v>
      </c>
      <c r="J1226" s="1">
        <v>974.63</v>
      </c>
      <c r="K1226" s="8" t="str">
        <f t="shared" si="19"/>
        <v>Jul</v>
      </c>
    </row>
    <row r="1227" spans="1:11">
      <c r="A1227" s="1" t="s">
        <v>1251</v>
      </c>
      <c r="B1227" s="2">
        <v>46013</v>
      </c>
      <c r="C1227" s="1" t="s">
        <v>16</v>
      </c>
      <c r="D1227" s="1" t="s">
        <v>29</v>
      </c>
      <c r="E1227" s="1" t="s">
        <v>14</v>
      </c>
      <c r="F1227" s="1">
        <v>109</v>
      </c>
      <c r="G1227" s="1">
        <v>29.71</v>
      </c>
      <c r="H1227" s="1">
        <v>3238.39</v>
      </c>
      <c r="I1227" s="1">
        <v>2221.91</v>
      </c>
      <c r="J1227" s="1">
        <v>1016.48</v>
      </c>
      <c r="K1227" s="8" t="str">
        <f t="shared" si="19"/>
        <v>Dec</v>
      </c>
    </row>
    <row r="1228" spans="1:11">
      <c r="A1228" s="1" t="s">
        <v>1252</v>
      </c>
      <c r="B1228" s="2">
        <v>45941</v>
      </c>
      <c r="C1228" s="1" t="s">
        <v>12</v>
      </c>
      <c r="D1228" s="1" t="s">
        <v>13</v>
      </c>
      <c r="E1228" s="1" t="s">
        <v>20</v>
      </c>
      <c r="F1228" s="1">
        <v>286</v>
      </c>
      <c r="G1228" s="1">
        <v>15.42</v>
      </c>
      <c r="H1228" s="1">
        <v>4410.12</v>
      </c>
      <c r="I1228" s="1">
        <v>3451.82</v>
      </c>
      <c r="J1228" s="1">
        <v>958.3</v>
      </c>
      <c r="K1228" s="8" t="str">
        <f t="shared" si="19"/>
        <v>Oct</v>
      </c>
    </row>
    <row r="1229" spans="1:11">
      <c r="A1229" s="1" t="s">
        <v>1253</v>
      </c>
      <c r="B1229" s="2">
        <v>45785</v>
      </c>
      <c r="C1229" s="1" t="s">
        <v>28</v>
      </c>
      <c r="D1229" s="1" t="s">
        <v>29</v>
      </c>
      <c r="E1229" s="1" t="s">
        <v>23</v>
      </c>
      <c r="F1229" s="1">
        <v>62</v>
      </c>
      <c r="G1229" s="1">
        <v>30.4</v>
      </c>
      <c r="H1229" s="1">
        <v>1884.8</v>
      </c>
      <c r="I1229" s="1">
        <v>1490.38</v>
      </c>
      <c r="J1229" s="1">
        <v>394.42</v>
      </c>
      <c r="K1229" s="8" t="str">
        <f t="shared" si="19"/>
        <v>May</v>
      </c>
    </row>
    <row r="1230" spans="1:11">
      <c r="A1230" s="1" t="s">
        <v>1254</v>
      </c>
      <c r="B1230" s="2">
        <v>46012</v>
      </c>
      <c r="C1230" s="1" t="s">
        <v>16</v>
      </c>
      <c r="D1230" s="1" t="s">
        <v>29</v>
      </c>
      <c r="E1230" s="1" t="s">
        <v>20</v>
      </c>
      <c r="F1230" s="1">
        <v>10</v>
      </c>
      <c r="G1230" s="1">
        <v>37.92</v>
      </c>
      <c r="H1230" s="1">
        <v>379.2</v>
      </c>
      <c r="I1230" s="1">
        <v>231.44</v>
      </c>
      <c r="J1230" s="1">
        <v>147.76</v>
      </c>
      <c r="K1230" s="8" t="str">
        <f t="shared" si="19"/>
        <v>Dec</v>
      </c>
    </row>
    <row r="1231" spans="1:11">
      <c r="A1231" s="1" t="s">
        <v>1255</v>
      </c>
      <c r="B1231" s="2">
        <v>45736</v>
      </c>
      <c r="C1231" s="1" t="s">
        <v>22</v>
      </c>
      <c r="D1231" s="1" t="s">
        <v>29</v>
      </c>
      <c r="E1231" s="1" t="s">
        <v>33</v>
      </c>
      <c r="F1231" s="1">
        <v>203</v>
      </c>
      <c r="G1231" s="1">
        <v>25.94</v>
      </c>
      <c r="H1231" s="1">
        <v>5265.82</v>
      </c>
      <c r="I1231" s="1">
        <v>3970.8</v>
      </c>
      <c r="J1231" s="1">
        <v>1295.02</v>
      </c>
      <c r="K1231" s="8" t="str">
        <f t="shared" si="19"/>
        <v>Mar</v>
      </c>
    </row>
    <row r="1232" spans="1:11">
      <c r="A1232" s="1" t="s">
        <v>1256</v>
      </c>
      <c r="B1232" s="2">
        <v>45952</v>
      </c>
      <c r="C1232" s="1" t="s">
        <v>16</v>
      </c>
      <c r="D1232" s="1" t="s">
        <v>13</v>
      </c>
      <c r="E1232" s="1" t="s">
        <v>33</v>
      </c>
      <c r="F1232" s="1">
        <v>213</v>
      </c>
      <c r="G1232" s="1">
        <v>39.049999999999997</v>
      </c>
      <c r="H1232" s="1">
        <v>8317.65</v>
      </c>
      <c r="I1232" s="1">
        <v>6336.2</v>
      </c>
      <c r="J1232" s="1">
        <v>1981.45</v>
      </c>
      <c r="K1232" s="8" t="str">
        <f t="shared" si="19"/>
        <v>Oct</v>
      </c>
    </row>
    <row r="1233" spans="1:11">
      <c r="A1233" s="1" t="s">
        <v>1257</v>
      </c>
      <c r="B1233" s="2">
        <v>45819</v>
      </c>
      <c r="C1233" s="1" t="s">
        <v>16</v>
      </c>
      <c r="D1233" s="1" t="s">
        <v>17</v>
      </c>
      <c r="E1233" s="1" t="s">
        <v>18</v>
      </c>
      <c r="F1233" s="1">
        <v>165</v>
      </c>
      <c r="G1233" s="1">
        <v>26.77</v>
      </c>
      <c r="H1233" s="1">
        <v>4417.05</v>
      </c>
      <c r="I1233" s="1">
        <v>3342.45</v>
      </c>
      <c r="J1233" s="1">
        <v>1074.5999999999999</v>
      </c>
      <c r="K1233" s="8" t="str">
        <f t="shared" si="19"/>
        <v>Jun</v>
      </c>
    </row>
    <row r="1234" spans="1:11">
      <c r="A1234" s="1" t="s">
        <v>1258</v>
      </c>
      <c r="B1234" s="2">
        <v>45722</v>
      </c>
      <c r="C1234" s="1" t="s">
        <v>36</v>
      </c>
      <c r="D1234" s="1" t="s">
        <v>29</v>
      </c>
      <c r="E1234" s="1" t="s">
        <v>14</v>
      </c>
      <c r="F1234" s="1">
        <v>240</v>
      </c>
      <c r="G1234" s="1">
        <v>13.88</v>
      </c>
      <c r="H1234" s="1">
        <v>3331.2</v>
      </c>
      <c r="I1234" s="1">
        <v>2398.14</v>
      </c>
      <c r="J1234" s="1">
        <v>933.06</v>
      </c>
      <c r="K1234" s="8" t="str">
        <f t="shared" si="19"/>
        <v>Mar</v>
      </c>
    </row>
    <row r="1235" spans="1:11">
      <c r="A1235" s="1" t="s">
        <v>1259</v>
      </c>
      <c r="B1235" s="2">
        <v>45991</v>
      </c>
      <c r="C1235" s="1" t="s">
        <v>36</v>
      </c>
      <c r="D1235" s="1" t="s">
        <v>17</v>
      </c>
      <c r="E1235" s="1" t="s">
        <v>23</v>
      </c>
      <c r="F1235" s="1">
        <v>13</v>
      </c>
      <c r="G1235" s="1">
        <v>31.36</v>
      </c>
      <c r="H1235" s="1">
        <v>407.68</v>
      </c>
      <c r="I1235" s="1">
        <v>323.70999999999998</v>
      </c>
      <c r="J1235" s="1">
        <v>83.97</v>
      </c>
      <c r="K1235" s="8" t="str">
        <f t="shared" si="19"/>
        <v>Nov</v>
      </c>
    </row>
    <row r="1236" spans="1:11">
      <c r="A1236" s="1" t="s">
        <v>1260</v>
      </c>
      <c r="B1236" s="2">
        <v>45939</v>
      </c>
      <c r="C1236" s="1" t="s">
        <v>28</v>
      </c>
      <c r="D1236" s="1" t="s">
        <v>17</v>
      </c>
      <c r="E1236" s="1" t="s">
        <v>23</v>
      </c>
      <c r="F1236" s="1">
        <v>86</v>
      </c>
      <c r="G1236" s="1">
        <v>10.27</v>
      </c>
      <c r="H1236" s="1">
        <v>883.22</v>
      </c>
      <c r="I1236" s="1">
        <v>614.38</v>
      </c>
      <c r="J1236" s="1">
        <v>268.83999999999997</v>
      </c>
      <c r="K1236" s="8" t="str">
        <f t="shared" si="19"/>
        <v>Oct</v>
      </c>
    </row>
    <row r="1237" spans="1:11">
      <c r="A1237" s="1" t="s">
        <v>1261</v>
      </c>
      <c r="B1237" s="2">
        <v>45672</v>
      </c>
      <c r="C1237" s="1" t="s">
        <v>16</v>
      </c>
      <c r="D1237" s="1" t="s">
        <v>13</v>
      </c>
      <c r="E1237" s="1" t="s">
        <v>23</v>
      </c>
      <c r="F1237" s="1">
        <v>262</v>
      </c>
      <c r="G1237" s="1">
        <v>11.36</v>
      </c>
      <c r="H1237" s="1">
        <v>2976.32</v>
      </c>
      <c r="I1237" s="1">
        <v>1859.1</v>
      </c>
      <c r="J1237" s="1">
        <v>1117.22</v>
      </c>
      <c r="K1237" s="8" t="str">
        <f t="shared" si="19"/>
        <v>Jan</v>
      </c>
    </row>
    <row r="1238" spans="1:11">
      <c r="A1238" s="1" t="s">
        <v>1262</v>
      </c>
      <c r="B1238" s="2">
        <v>45862</v>
      </c>
      <c r="C1238" s="1" t="s">
        <v>36</v>
      </c>
      <c r="D1238" s="1" t="s">
        <v>13</v>
      </c>
      <c r="E1238" s="1" t="s">
        <v>18</v>
      </c>
      <c r="F1238" s="1">
        <v>174</v>
      </c>
      <c r="G1238" s="1">
        <v>16.98</v>
      </c>
      <c r="H1238" s="1">
        <v>2954.52</v>
      </c>
      <c r="I1238" s="1">
        <v>2159.69</v>
      </c>
      <c r="J1238" s="1">
        <v>794.83</v>
      </c>
      <c r="K1238" s="8" t="str">
        <f t="shared" si="19"/>
        <v>Jul</v>
      </c>
    </row>
    <row r="1239" spans="1:11">
      <c r="A1239" s="1" t="s">
        <v>1263</v>
      </c>
      <c r="B1239" s="2">
        <v>45933</v>
      </c>
      <c r="C1239" s="1" t="s">
        <v>12</v>
      </c>
      <c r="D1239" s="1" t="s">
        <v>29</v>
      </c>
      <c r="E1239" s="1" t="s">
        <v>23</v>
      </c>
      <c r="F1239" s="1">
        <v>296</v>
      </c>
      <c r="G1239" s="1">
        <v>37.950000000000003</v>
      </c>
      <c r="H1239" s="1">
        <v>11233.2</v>
      </c>
      <c r="I1239" s="1">
        <v>8043.09</v>
      </c>
      <c r="J1239" s="1">
        <v>3190.11</v>
      </c>
      <c r="K1239" s="8" t="str">
        <f t="shared" si="19"/>
        <v>Oct</v>
      </c>
    </row>
    <row r="1240" spans="1:11">
      <c r="A1240" s="1" t="s">
        <v>1264</v>
      </c>
      <c r="B1240" s="2">
        <v>45835</v>
      </c>
      <c r="C1240" s="1" t="s">
        <v>36</v>
      </c>
      <c r="D1240" s="1" t="s">
        <v>13</v>
      </c>
      <c r="E1240" s="1" t="s">
        <v>18</v>
      </c>
      <c r="F1240" s="1">
        <v>259</v>
      </c>
      <c r="G1240" s="1">
        <v>39.26</v>
      </c>
      <c r="H1240" s="1">
        <v>10168.34</v>
      </c>
      <c r="I1240" s="1">
        <v>8045.48</v>
      </c>
      <c r="J1240" s="1">
        <v>2122.86</v>
      </c>
      <c r="K1240" s="8" t="str">
        <f t="shared" si="19"/>
        <v>Jun</v>
      </c>
    </row>
    <row r="1241" spans="1:11">
      <c r="A1241" s="1" t="s">
        <v>1265</v>
      </c>
      <c r="B1241" s="2">
        <v>45696</v>
      </c>
      <c r="C1241" s="1" t="s">
        <v>22</v>
      </c>
      <c r="D1241" s="1" t="s">
        <v>29</v>
      </c>
      <c r="E1241" s="1" t="s">
        <v>18</v>
      </c>
      <c r="F1241" s="1">
        <v>221</v>
      </c>
      <c r="G1241" s="1">
        <v>13.71</v>
      </c>
      <c r="H1241" s="1">
        <v>3029.91</v>
      </c>
      <c r="I1241" s="1">
        <v>2027.36</v>
      </c>
      <c r="J1241" s="1">
        <v>1002.55</v>
      </c>
      <c r="K1241" s="8" t="str">
        <f t="shared" si="19"/>
        <v>Feb</v>
      </c>
    </row>
    <row r="1242" spans="1:11">
      <c r="A1242" s="1" t="s">
        <v>1266</v>
      </c>
      <c r="B1242" s="2">
        <v>45999</v>
      </c>
      <c r="C1242" s="1" t="s">
        <v>22</v>
      </c>
      <c r="D1242" s="1" t="s">
        <v>17</v>
      </c>
      <c r="E1242" s="1" t="s">
        <v>26</v>
      </c>
      <c r="F1242" s="1">
        <v>116</v>
      </c>
      <c r="G1242" s="1">
        <v>38.76</v>
      </c>
      <c r="H1242" s="1">
        <v>4496.16</v>
      </c>
      <c r="I1242" s="1">
        <v>2896.99</v>
      </c>
      <c r="J1242" s="1">
        <v>1599.17</v>
      </c>
      <c r="K1242" s="8" t="str">
        <f t="shared" si="19"/>
        <v>Dec</v>
      </c>
    </row>
    <row r="1243" spans="1:11">
      <c r="A1243" s="1" t="s">
        <v>1267</v>
      </c>
      <c r="B1243" s="2">
        <v>45863</v>
      </c>
      <c r="C1243" s="1" t="s">
        <v>28</v>
      </c>
      <c r="D1243" s="1" t="s">
        <v>17</v>
      </c>
      <c r="E1243" s="1" t="s">
        <v>33</v>
      </c>
      <c r="F1243" s="1">
        <v>150</v>
      </c>
      <c r="G1243" s="1">
        <v>18.59</v>
      </c>
      <c r="H1243" s="1">
        <v>2788.5</v>
      </c>
      <c r="I1243" s="1">
        <v>1681.57</v>
      </c>
      <c r="J1243" s="1">
        <v>1106.93</v>
      </c>
      <c r="K1243" s="8" t="str">
        <f t="shared" si="19"/>
        <v>Jul</v>
      </c>
    </row>
    <row r="1244" spans="1:11">
      <c r="A1244" s="1" t="s">
        <v>1268</v>
      </c>
      <c r="B1244" s="2">
        <v>45945</v>
      </c>
      <c r="C1244" s="1" t="s">
        <v>36</v>
      </c>
      <c r="D1244" s="1" t="s">
        <v>29</v>
      </c>
      <c r="E1244" s="1" t="s">
        <v>33</v>
      </c>
      <c r="F1244" s="1">
        <v>209</v>
      </c>
      <c r="G1244" s="1">
        <v>27.92</v>
      </c>
      <c r="H1244" s="1">
        <v>5835.28</v>
      </c>
      <c r="I1244" s="1">
        <v>3851.12</v>
      </c>
      <c r="J1244" s="1">
        <v>1984.16</v>
      </c>
      <c r="K1244" s="8" t="str">
        <f t="shared" si="19"/>
        <v>Oct</v>
      </c>
    </row>
    <row r="1245" spans="1:11">
      <c r="A1245" s="1" t="s">
        <v>1269</v>
      </c>
      <c r="B1245" s="2">
        <v>45981</v>
      </c>
      <c r="C1245" s="1" t="s">
        <v>31</v>
      </c>
      <c r="D1245" s="1" t="s">
        <v>17</v>
      </c>
      <c r="E1245" s="1" t="s">
        <v>26</v>
      </c>
      <c r="F1245" s="1">
        <v>96</v>
      </c>
      <c r="G1245" s="1">
        <v>24.13</v>
      </c>
      <c r="H1245" s="1">
        <v>2316.48</v>
      </c>
      <c r="I1245" s="1">
        <v>1604.8</v>
      </c>
      <c r="J1245" s="1">
        <v>711.68</v>
      </c>
      <c r="K1245" s="8" t="str">
        <f t="shared" si="19"/>
        <v>Nov</v>
      </c>
    </row>
    <row r="1246" spans="1:11">
      <c r="A1246" s="1" t="s">
        <v>1270</v>
      </c>
      <c r="B1246" s="2">
        <v>45707</v>
      </c>
      <c r="C1246" s="1" t="s">
        <v>36</v>
      </c>
      <c r="D1246" s="1" t="s">
        <v>29</v>
      </c>
      <c r="E1246" s="1" t="s">
        <v>26</v>
      </c>
      <c r="F1246" s="1">
        <v>248</v>
      </c>
      <c r="G1246" s="1">
        <v>38.42</v>
      </c>
      <c r="H1246" s="1">
        <v>9528.16</v>
      </c>
      <c r="I1246" s="1">
        <v>6331.84</v>
      </c>
      <c r="J1246" s="1">
        <v>3196.32</v>
      </c>
      <c r="K1246" s="8" t="str">
        <f t="shared" si="19"/>
        <v>Feb</v>
      </c>
    </row>
    <row r="1247" spans="1:11">
      <c r="A1247" s="1" t="s">
        <v>1271</v>
      </c>
      <c r="B1247" s="2">
        <v>45908</v>
      </c>
      <c r="C1247" s="1" t="s">
        <v>12</v>
      </c>
      <c r="D1247" s="1" t="s">
        <v>29</v>
      </c>
      <c r="E1247" s="1" t="s">
        <v>26</v>
      </c>
      <c r="F1247" s="1">
        <v>99</v>
      </c>
      <c r="G1247" s="1">
        <v>16.93</v>
      </c>
      <c r="H1247" s="1">
        <v>1676.07</v>
      </c>
      <c r="I1247" s="1">
        <v>1129.4100000000001</v>
      </c>
      <c r="J1247" s="1">
        <v>546.66</v>
      </c>
      <c r="K1247" s="8" t="str">
        <f t="shared" si="19"/>
        <v>Sep</v>
      </c>
    </row>
    <row r="1248" spans="1:11">
      <c r="A1248" s="1" t="s">
        <v>1272</v>
      </c>
      <c r="B1248" s="2">
        <v>45826</v>
      </c>
      <c r="C1248" s="1" t="s">
        <v>28</v>
      </c>
      <c r="D1248" s="1" t="s">
        <v>29</v>
      </c>
      <c r="E1248" s="1" t="s">
        <v>26</v>
      </c>
      <c r="F1248" s="1">
        <v>13</v>
      </c>
      <c r="G1248" s="1">
        <v>27.46</v>
      </c>
      <c r="H1248" s="1">
        <v>356.98</v>
      </c>
      <c r="I1248" s="1">
        <v>279.52</v>
      </c>
      <c r="J1248" s="1">
        <v>77.459999999999994</v>
      </c>
      <c r="K1248" s="8" t="str">
        <f t="shared" si="19"/>
        <v>Jun</v>
      </c>
    </row>
    <row r="1249" spans="1:11">
      <c r="A1249" s="1" t="s">
        <v>1273</v>
      </c>
      <c r="B1249" s="2">
        <v>45831</v>
      </c>
      <c r="C1249" s="1" t="s">
        <v>31</v>
      </c>
      <c r="D1249" s="1" t="s">
        <v>13</v>
      </c>
      <c r="E1249" s="1" t="s">
        <v>20</v>
      </c>
      <c r="F1249" s="1">
        <v>179</v>
      </c>
      <c r="G1249" s="1">
        <v>37.26</v>
      </c>
      <c r="H1249" s="1">
        <v>6669.54</v>
      </c>
      <c r="I1249" s="1">
        <v>4440.92</v>
      </c>
      <c r="J1249" s="1">
        <v>2228.62</v>
      </c>
      <c r="K1249" s="8" t="str">
        <f t="shared" si="19"/>
        <v>Jun</v>
      </c>
    </row>
    <row r="1250" spans="1:11">
      <c r="A1250" s="1" t="s">
        <v>1274</v>
      </c>
      <c r="B1250" s="2">
        <v>45669</v>
      </c>
      <c r="C1250" s="1" t="s">
        <v>31</v>
      </c>
      <c r="D1250" s="1" t="s">
        <v>13</v>
      </c>
      <c r="E1250" s="1" t="s">
        <v>23</v>
      </c>
      <c r="F1250" s="1">
        <v>42</v>
      </c>
      <c r="G1250" s="1">
        <v>23.85</v>
      </c>
      <c r="H1250" s="1">
        <v>1001.7</v>
      </c>
      <c r="I1250" s="1">
        <v>797.96</v>
      </c>
      <c r="J1250" s="1">
        <v>203.74</v>
      </c>
      <c r="K1250" s="8" t="str">
        <f t="shared" si="19"/>
        <v>Jan</v>
      </c>
    </row>
    <row r="1251" spans="1:11">
      <c r="A1251" s="1" t="s">
        <v>1275</v>
      </c>
      <c r="B1251" s="2">
        <v>45711</v>
      </c>
      <c r="C1251" s="1" t="s">
        <v>12</v>
      </c>
      <c r="D1251" s="1" t="s">
        <v>17</v>
      </c>
      <c r="E1251" s="1" t="s">
        <v>14</v>
      </c>
      <c r="F1251" s="1">
        <v>11</v>
      </c>
      <c r="G1251" s="1">
        <v>21.2</v>
      </c>
      <c r="H1251" s="1">
        <v>233.2</v>
      </c>
      <c r="I1251" s="1">
        <v>186.5</v>
      </c>
      <c r="J1251" s="1">
        <v>46.7</v>
      </c>
      <c r="K1251" s="8" t="str">
        <f t="shared" si="19"/>
        <v>Feb</v>
      </c>
    </row>
    <row r="1252" spans="1:11">
      <c r="A1252" s="1" t="s">
        <v>1276</v>
      </c>
      <c r="B1252" s="2">
        <v>45787</v>
      </c>
      <c r="C1252" s="1" t="s">
        <v>31</v>
      </c>
      <c r="D1252" s="1" t="s">
        <v>29</v>
      </c>
      <c r="E1252" s="1" t="s">
        <v>23</v>
      </c>
      <c r="F1252" s="1">
        <v>283</v>
      </c>
      <c r="G1252" s="1">
        <v>10.77</v>
      </c>
      <c r="H1252" s="1">
        <v>3047.91</v>
      </c>
      <c r="I1252" s="1">
        <v>2405.5300000000002</v>
      </c>
      <c r="J1252" s="1">
        <v>642.38</v>
      </c>
      <c r="K1252" s="8" t="str">
        <f t="shared" si="19"/>
        <v>May</v>
      </c>
    </row>
    <row r="1253" spans="1:11">
      <c r="A1253" s="1" t="s">
        <v>1277</v>
      </c>
      <c r="B1253" s="2">
        <v>45986</v>
      </c>
      <c r="C1253" s="1" t="s">
        <v>36</v>
      </c>
      <c r="D1253" s="1" t="s">
        <v>17</v>
      </c>
      <c r="E1253" s="1" t="s">
        <v>23</v>
      </c>
      <c r="F1253" s="1">
        <v>194</v>
      </c>
      <c r="G1253" s="1">
        <v>12.19</v>
      </c>
      <c r="H1253" s="1">
        <v>2364.86</v>
      </c>
      <c r="I1253" s="1">
        <v>1681.79</v>
      </c>
      <c r="J1253" s="1">
        <v>683.07</v>
      </c>
      <c r="K1253" s="8" t="str">
        <f t="shared" si="19"/>
        <v>Nov</v>
      </c>
    </row>
    <row r="1254" spans="1:11">
      <c r="A1254" s="1" t="s">
        <v>1278</v>
      </c>
      <c r="B1254" s="2">
        <v>45789</v>
      </c>
      <c r="C1254" s="1" t="s">
        <v>31</v>
      </c>
      <c r="D1254" s="1" t="s">
        <v>17</v>
      </c>
      <c r="E1254" s="1" t="s">
        <v>26</v>
      </c>
      <c r="F1254" s="1">
        <v>19</v>
      </c>
      <c r="G1254" s="1">
        <v>20.39</v>
      </c>
      <c r="H1254" s="1">
        <v>387.41</v>
      </c>
      <c r="I1254" s="1">
        <v>234.35</v>
      </c>
      <c r="J1254" s="1">
        <v>153.06</v>
      </c>
      <c r="K1254" s="8" t="str">
        <f t="shared" si="19"/>
        <v>May</v>
      </c>
    </row>
    <row r="1255" spans="1:11">
      <c r="A1255" s="1" t="s">
        <v>1279</v>
      </c>
      <c r="B1255" s="2">
        <v>45846</v>
      </c>
      <c r="C1255" s="1" t="s">
        <v>36</v>
      </c>
      <c r="D1255" s="1" t="s">
        <v>29</v>
      </c>
      <c r="E1255" s="1" t="s">
        <v>33</v>
      </c>
      <c r="F1255" s="1">
        <v>35</v>
      </c>
      <c r="G1255" s="1">
        <v>27.45</v>
      </c>
      <c r="H1255" s="1">
        <v>960.75</v>
      </c>
      <c r="I1255" s="1">
        <v>621.91999999999996</v>
      </c>
      <c r="J1255" s="1">
        <v>338.83</v>
      </c>
      <c r="K1255" s="8" t="str">
        <f t="shared" si="19"/>
        <v>Jul</v>
      </c>
    </row>
    <row r="1256" spans="1:11">
      <c r="A1256" s="1" t="s">
        <v>1280</v>
      </c>
      <c r="B1256" s="2">
        <v>45892</v>
      </c>
      <c r="C1256" s="1" t="s">
        <v>12</v>
      </c>
      <c r="D1256" s="1" t="s">
        <v>29</v>
      </c>
      <c r="E1256" s="1" t="s">
        <v>14</v>
      </c>
      <c r="F1256" s="1">
        <v>58</v>
      </c>
      <c r="G1256" s="1">
        <v>27.83</v>
      </c>
      <c r="H1256" s="1">
        <v>1614.14</v>
      </c>
      <c r="I1256" s="1">
        <v>1077.7</v>
      </c>
      <c r="J1256" s="1">
        <v>536.44000000000005</v>
      </c>
      <c r="K1256" s="8" t="str">
        <f t="shared" si="19"/>
        <v>Aug</v>
      </c>
    </row>
    <row r="1257" spans="1:11">
      <c r="A1257" s="1" t="s">
        <v>1281</v>
      </c>
      <c r="B1257" s="2">
        <v>45836</v>
      </c>
      <c r="C1257" s="1" t="s">
        <v>28</v>
      </c>
      <c r="D1257" s="1" t="s">
        <v>17</v>
      </c>
      <c r="E1257" s="1" t="s">
        <v>20</v>
      </c>
      <c r="F1257" s="1">
        <v>60</v>
      </c>
      <c r="G1257" s="1">
        <v>14.31</v>
      </c>
      <c r="H1257" s="1">
        <v>858.6</v>
      </c>
      <c r="I1257" s="1">
        <v>528.54999999999995</v>
      </c>
      <c r="J1257" s="1">
        <v>330.05</v>
      </c>
      <c r="K1257" s="8" t="str">
        <f t="shared" si="19"/>
        <v>Jun</v>
      </c>
    </row>
    <row r="1258" spans="1:11">
      <c r="A1258" s="1" t="s">
        <v>1282</v>
      </c>
      <c r="B1258" s="2">
        <v>45749</v>
      </c>
      <c r="C1258" s="1" t="s">
        <v>31</v>
      </c>
      <c r="D1258" s="1" t="s">
        <v>29</v>
      </c>
      <c r="E1258" s="1" t="s">
        <v>18</v>
      </c>
      <c r="F1258" s="1">
        <v>282</v>
      </c>
      <c r="G1258" s="1">
        <v>34.270000000000003</v>
      </c>
      <c r="H1258" s="1">
        <v>9664.14</v>
      </c>
      <c r="I1258" s="1">
        <v>7606.67</v>
      </c>
      <c r="J1258" s="1">
        <v>2057.4699999999998</v>
      </c>
      <c r="K1258" s="8" t="str">
        <f t="shared" si="19"/>
        <v>Apr</v>
      </c>
    </row>
    <row r="1259" spans="1:11">
      <c r="A1259" s="1" t="s">
        <v>1283</v>
      </c>
      <c r="B1259" s="2">
        <v>46000</v>
      </c>
      <c r="C1259" s="1" t="s">
        <v>22</v>
      </c>
      <c r="D1259" s="1" t="s">
        <v>13</v>
      </c>
      <c r="E1259" s="1" t="s">
        <v>26</v>
      </c>
      <c r="F1259" s="1">
        <v>138</v>
      </c>
      <c r="G1259" s="1">
        <v>22.27</v>
      </c>
      <c r="H1259" s="1">
        <v>3073.26</v>
      </c>
      <c r="I1259" s="1">
        <v>2187.4899999999998</v>
      </c>
      <c r="J1259" s="1">
        <v>885.77</v>
      </c>
      <c r="K1259" s="8" t="str">
        <f t="shared" si="19"/>
        <v>Dec</v>
      </c>
    </row>
    <row r="1260" spans="1:11">
      <c r="A1260" s="1" t="s">
        <v>1284</v>
      </c>
      <c r="B1260" s="2">
        <v>45935</v>
      </c>
      <c r="C1260" s="1" t="s">
        <v>28</v>
      </c>
      <c r="D1260" s="1" t="s">
        <v>17</v>
      </c>
      <c r="E1260" s="1" t="s">
        <v>20</v>
      </c>
      <c r="F1260" s="1">
        <v>284</v>
      </c>
      <c r="G1260" s="1">
        <v>35.71</v>
      </c>
      <c r="H1260" s="1">
        <v>10141.64</v>
      </c>
      <c r="I1260" s="1">
        <v>6201.48</v>
      </c>
      <c r="J1260" s="1">
        <v>3940.16</v>
      </c>
      <c r="K1260" s="8" t="str">
        <f t="shared" si="19"/>
        <v>Oct</v>
      </c>
    </row>
    <row r="1261" spans="1:11">
      <c r="A1261" s="1" t="s">
        <v>1285</v>
      </c>
      <c r="B1261" s="2">
        <v>45867</v>
      </c>
      <c r="C1261" s="1" t="s">
        <v>22</v>
      </c>
      <c r="D1261" s="1" t="s">
        <v>13</v>
      </c>
      <c r="E1261" s="1" t="s">
        <v>33</v>
      </c>
      <c r="F1261" s="1">
        <v>220</v>
      </c>
      <c r="G1261" s="1">
        <v>35.4</v>
      </c>
      <c r="H1261" s="1">
        <v>7788</v>
      </c>
      <c r="I1261" s="1">
        <v>5133.6899999999996</v>
      </c>
      <c r="J1261" s="1">
        <v>2654.31</v>
      </c>
      <c r="K1261" s="8" t="str">
        <f t="shared" si="19"/>
        <v>Jul</v>
      </c>
    </row>
    <row r="1262" spans="1:11">
      <c r="A1262" s="1" t="s">
        <v>1286</v>
      </c>
      <c r="B1262" s="2">
        <v>45705</v>
      </c>
      <c r="C1262" s="1" t="s">
        <v>12</v>
      </c>
      <c r="D1262" s="1" t="s">
        <v>29</v>
      </c>
      <c r="E1262" s="1" t="s">
        <v>33</v>
      </c>
      <c r="F1262" s="1">
        <v>288</v>
      </c>
      <c r="G1262" s="1">
        <v>13.96</v>
      </c>
      <c r="H1262" s="1">
        <v>4020.48</v>
      </c>
      <c r="I1262" s="1">
        <v>2617.6999999999998</v>
      </c>
      <c r="J1262" s="1">
        <v>1402.78</v>
      </c>
      <c r="K1262" s="8" t="str">
        <f t="shared" si="19"/>
        <v>Feb</v>
      </c>
    </row>
    <row r="1263" spans="1:11">
      <c r="A1263" s="1" t="s">
        <v>1287</v>
      </c>
      <c r="B1263" s="2">
        <v>45747</v>
      </c>
      <c r="C1263" s="1" t="s">
        <v>31</v>
      </c>
      <c r="D1263" s="1" t="s">
        <v>17</v>
      </c>
      <c r="E1263" s="1" t="s">
        <v>26</v>
      </c>
      <c r="F1263" s="1">
        <v>12</v>
      </c>
      <c r="G1263" s="1">
        <v>39.54</v>
      </c>
      <c r="H1263" s="1">
        <v>474.48</v>
      </c>
      <c r="I1263" s="1">
        <v>287.27999999999997</v>
      </c>
      <c r="J1263" s="1">
        <v>187.2</v>
      </c>
      <c r="K1263" s="8" t="str">
        <f t="shared" si="19"/>
        <v>Mar</v>
      </c>
    </row>
    <row r="1264" spans="1:11">
      <c r="A1264" s="1" t="s">
        <v>1288</v>
      </c>
      <c r="B1264" s="2">
        <v>45688</v>
      </c>
      <c r="C1264" s="1" t="s">
        <v>16</v>
      </c>
      <c r="D1264" s="1" t="s">
        <v>17</v>
      </c>
      <c r="E1264" s="1" t="s">
        <v>20</v>
      </c>
      <c r="F1264" s="1">
        <v>230</v>
      </c>
      <c r="G1264" s="1">
        <v>17.899999999999999</v>
      </c>
      <c r="H1264" s="1">
        <v>4117</v>
      </c>
      <c r="I1264" s="1">
        <v>2669.17</v>
      </c>
      <c r="J1264" s="1">
        <v>1447.83</v>
      </c>
      <c r="K1264" s="8" t="str">
        <f t="shared" si="19"/>
        <v>Jan</v>
      </c>
    </row>
    <row r="1265" spans="1:11">
      <c r="A1265" s="1" t="s">
        <v>1289</v>
      </c>
      <c r="B1265" s="2">
        <v>45696</v>
      </c>
      <c r="C1265" s="1" t="s">
        <v>28</v>
      </c>
      <c r="D1265" s="1" t="s">
        <v>29</v>
      </c>
      <c r="E1265" s="1" t="s">
        <v>26</v>
      </c>
      <c r="F1265" s="1">
        <v>127</v>
      </c>
      <c r="G1265" s="1">
        <v>13.23</v>
      </c>
      <c r="H1265" s="1">
        <v>1680.21</v>
      </c>
      <c r="I1265" s="1">
        <v>1083.05</v>
      </c>
      <c r="J1265" s="1">
        <v>597.16</v>
      </c>
      <c r="K1265" s="8" t="str">
        <f t="shared" si="19"/>
        <v>Feb</v>
      </c>
    </row>
    <row r="1266" spans="1:11">
      <c r="A1266" s="1" t="s">
        <v>1290</v>
      </c>
      <c r="B1266" s="2">
        <v>45824</v>
      </c>
      <c r="C1266" s="1" t="s">
        <v>22</v>
      </c>
      <c r="D1266" s="1" t="s">
        <v>17</v>
      </c>
      <c r="E1266" s="1" t="s">
        <v>18</v>
      </c>
      <c r="F1266" s="1">
        <v>232</v>
      </c>
      <c r="G1266" s="1">
        <v>19.48</v>
      </c>
      <c r="H1266" s="1">
        <v>4519.3599999999997</v>
      </c>
      <c r="I1266" s="1">
        <v>3141.11</v>
      </c>
      <c r="J1266" s="1">
        <v>1378.25</v>
      </c>
      <c r="K1266" s="8" t="str">
        <f t="shared" si="19"/>
        <v>Jun</v>
      </c>
    </row>
    <row r="1267" spans="1:11">
      <c r="A1267" s="1" t="s">
        <v>1291</v>
      </c>
      <c r="B1267" s="2">
        <v>46016</v>
      </c>
      <c r="C1267" s="1" t="s">
        <v>22</v>
      </c>
      <c r="D1267" s="1" t="s">
        <v>29</v>
      </c>
      <c r="E1267" s="1" t="s">
        <v>26</v>
      </c>
      <c r="F1267" s="1">
        <v>90</v>
      </c>
      <c r="G1267" s="1">
        <v>19.72</v>
      </c>
      <c r="H1267" s="1">
        <v>1774.8</v>
      </c>
      <c r="I1267" s="1">
        <v>1347.56</v>
      </c>
      <c r="J1267" s="1">
        <v>427.24</v>
      </c>
      <c r="K1267" s="8" t="str">
        <f t="shared" si="19"/>
        <v>Dec</v>
      </c>
    </row>
    <row r="1268" spans="1:11">
      <c r="A1268" s="1" t="s">
        <v>1292</v>
      </c>
      <c r="B1268" s="2">
        <v>46005</v>
      </c>
      <c r="C1268" s="1" t="s">
        <v>16</v>
      </c>
      <c r="D1268" s="1" t="s">
        <v>13</v>
      </c>
      <c r="E1268" s="1" t="s">
        <v>33</v>
      </c>
      <c r="F1268" s="1">
        <v>59</v>
      </c>
      <c r="G1268" s="1">
        <v>23.59</v>
      </c>
      <c r="H1268" s="1">
        <v>1391.81</v>
      </c>
      <c r="I1268" s="1">
        <v>1090.6600000000001</v>
      </c>
      <c r="J1268" s="1">
        <v>301.14999999999998</v>
      </c>
      <c r="K1268" s="8" t="str">
        <f t="shared" si="19"/>
        <v>Dec</v>
      </c>
    </row>
    <row r="1269" spans="1:11">
      <c r="A1269" s="1" t="s">
        <v>1293</v>
      </c>
      <c r="B1269" s="2">
        <v>45781</v>
      </c>
      <c r="C1269" s="1" t="s">
        <v>36</v>
      </c>
      <c r="D1269" s="1" t="s">
        <v>17</v>
      </c>
      <c r="E1269" s="1" t="s">
        <v>18</v>
      </c>
      <c r="F1269" s="1">
        <v>199</v>
      </c>
      <c r="G1269" s="1">
        <v>35.590000000000003</v>
      </c>
      <c r="H1269" s="1">
        <v>7082.41</v>
      </c>
      <c r="I1269" s="1">
        <v>4368.37</v>
      </c>
      <c r="J1269" s="1">
        <v>2714.04</v>
      </c>
      <c r="K1269" s="8" t="str">
        <f t="shared" si="19"/>
        <v>May</v>
      </c>
    </row>
    <row r="1270" spans="1:11">
      <c r="A1270" s="1" t="s">
        <v>1294</v>
      </c>
      <c r="B1270" s="2">
        <v>45899</v>
      </c>
      <c r="C1270" s="1" t="s">
        <v>28</v>
      </c>
      <c r="D1270" s="1" t="s">
        <v>17</v>
      </c>
      <c r="E1270" s="1" t="s">
        <v>20</v>
      </c>
      <c r="F1270" s="1">
        <v>203</v>
      </c>
      <c r="G1270" s="1">
        <v>30.57</v>
      </c>
      <c r="H1270" s="1">
        <v>6205.71</v>
      </c>
      <c r="I1270" s="1">
        <v>4479.76</v>
      </c>
      <c r="J1270" s="1">
        <v>1725.95</v>
      </c>
      <c r="K1270" s="8" t="str">
        <f t="shared" si="19"/>
        <v>Aug</v>
      </c>
    </row>
    <row r="1271" spans="1:11">
      <c r="A1271" s="1" t="s">
        <v>1295</v>
      </c>
      <c r="B1271" s="2">
        <v>45895</v>
      </c>
      <c r="C1271" s="1" t="s">
        <v>12</v>
      </c>
      <c r="D1271" s="1" t="s">
        <v>13</v>
      </c>
      <c r="E1271" s="1" t="s">
        <v>14</v>
      </c>
      <c r="F1271" s="1">
        <v>157</v>
      </c>
      <c r="G1271" s="1">
        <v>26.49</v>
      </c>
      <c r="H1271" s="1">
        <v>4158.93</v>
      </c>
      <c r="I1271" s="1">
        <v>3241.03</v>
      </c>
      <c r="J1271" s="1">
        <v>917.9</v>
      </c>
      <c r="K1271" s="8" t="str">
        <f t="shared" si="19"/>
        <v>Aug</v>
      </c>
    </row>
    <row r="1272" spans="1:11">
      <c r="A1272" s="1" t="s">
        <v>1296</v>
      </c>
      <c r="B1272" s="2">
        <v>45848</v>
      </c>
      <c r="C1272" s="1" t="s">
        <v>22</v>
      </c>
      <c r="D1272" s="1" t="s">
        <v>13</v>
      </c>
      <c r="E1272" s="1" t="s">
        <v>18</v>
      </c>
      <c r="F1272" s="1">
        <v>124</v>
      </c>
      <c r="G1272" s="1">
        <v>27.88</v>
      </c>
      <c r="H1272" s="1">
        <v>3457.12</v>
      </c>
      <c r="I1272" s="1">
        <v>2637.66</v>
      </c>
      <c r="J1272" s="1">
        <v>819.46</v>
      </c>
      <c r="K1272" s="8" t="str">
        <f t="shared" si="19"/>
        <v>Jul</v>
      </c>
    </row>
    <row r="1273" spans="1:11">
      <c r="A1273" s="1" t="s">
        <v>1297</v>
      </c>
      <c r="B1273" s="2">
        <v>46011</v>
      </c>
      <c r="C1273" s="1" t="s">
        <v>12</v>
      </c>
      <c r="D1273" s="1" t="s">
        <v>29</v>
      </c>
      <c r="E1273" s="1" t="s">
        <v>20</v>
      </c>
      <c r="F1273" s="1">
        <v>210</v>
      </c>
      <c r="G1273" s="1">
        <v>25.11</v>
      </c>
      <c r="H1273" s="1">
        <v>5273.1</v>
      </c>
      <c r="I1273" s="1">
        <v>3685.45</v>
      </c>
      <c r="J1273" s="1">
        <v>1587.65</v>
      </c>
      <c r="K1273" s="8" t="str">
        <f t="shared" si="19"/>
        <v>Dec</v>
      </c>
    </row>
    <row r="1274" spans="1:11">
      <c r="A1274" s="1" t="s">
        <v>1298</v>
      </c>
      <c r="B1274" s="2">
        <v>45762</v>
      </c>
      <c r="C1274" s="1" t="s">
        <v>16</v>
      </c>
      <c r="D1274" s="1" t="s">
        <v>13</v>
      </c>
      <c r="E1274" s="1" t="s">
        <v>14</v>
      </c>
      <c r="F1274" s="1">
        <v>126</v>
      </c>
      <c r="G1274" s="1">
        <v>20.37</v>
      </c>
      <c r="H1274" s="1">
        <v>2566.62</v>
      </c>
      <c r="I1274" s="1">
        <v>2045.14</v>
      </c>
      <c r="J1274" s="1">
        <v>521.48</v>
      </c>
      <c r="K1274" s="8" t="str">
        <f t="shared" si="19"/>
        <v>Apr</v>
      </c>
    </row>
    <row r="1275" spans="1:11">
      <c r="A1275" s="1" t="s">
        <v>1299</v>
      </c>
      <c r="B1275" s="2">
        <v>45718</v>
      </c>
      <c r="C1275" s="1" t="s">
        <v>36</v>
      </c>
      <c r="D1275" s="1" t="s">
        <v>17</v>
      </c>
      <c r="E1275" s="1" t="s">
        <v>26</v>
      </c>
      <c r="F1275" s="1">
        <v>253</v>
      </c>
      <c r="G1275" s="1">
        <v>15.41</v>
      </c>
      <c r="H1275" s="1">
        <v>3898.73</v>
      </c>
      <c r="I1275" s="1">
        <v>2699.71</v>
      </c>
      <c r="J1275" s="1">
        <v>1199.02</v>
      </c>
      <c r="K1275" s="8" t="str">
        <f t="shared" si="19"/>
        <v>Mar</v>
      </c>
    </row>
    <row r="1276" spans="1:11">
      <c r="A1276" s="1" t="s">
        <v>1300</v>
      </c>
      <c r="B1276" s="2">
        <v>45864</v>
      </c>
      <c r="C1276" s="1" t="s">
        <v>22</v>
      </c>
      <c r="D1276" s="1" t="s">
        <v>13</v>
      </c>
      <c r="E1276" s="1" t="s">
        <v>23</v>
      </c>
      <c r="F1276" s="1">
        <v>46</v>
      </c>
      <c r="G1276" s="1">
        <v>27.39</v>
      </c>
      <c r="H1276" s="1">
        <v>1259.94</v>
      </c>
      <c r="I1276" s="1">
        <v>887.33</v>
      </c>
      <c r="J1276" s="1">
        <v>372.61</v>
      </c>
      <c r="K1276" s="8" t="str">
        <f t="shared" si="19"/>
        <v>Jul</v>
      </c>
    </row>
    <row r="1277" spans="1:11">
      <c r="A1277" s="1" t="s">
        <v>1301</v>
      </c>
      <c r="B1277" s="2">
        <v>45981</v>
      </c>
      <c r="C1277" s="1" t="s">
        <v>28</v>
      </c>
      <c r="D1277" s="1" t="s">
        <v>17</v>
      </c>
      <c r="E1277" s="1" t="s">
        <v>20</v>
      </c>
      <c r="F1277" s="1">
        <v>74</v>
      </c>
      <c r="G1277" s="1">
        <v>16.07</v>
      </c>
      <c r="H1277" s="1">
        <v>1189.18</v>
      </c>
      <c r="I1277" s="1">
        <v>917.13</v>
      </c>
      <c r="J1277" s="1">
        <v>272.05</v>
      </c>
      <c r="K1277" s="8" t="str">
        <f t="shared" si="19"/>
        <v>Nov</v>
      </c>
    </row>
    <row r="1278" spans="1:11">
      <c r="A1278" s="1" t="s">
        <v>1302</v>
      </c>
      <c r="B1278" s="2">
        <v>45841</v>
      </c>
      <c r="C1278" s="1" t="s">
        <v>16</v>
      </c>
      <c r="D1278" s="1" t="s">
        <v>13</v>
      </c>
      <c r="E1278" s="1" t="s">
        <v>14</v>
      </c>
      <c r="F1278" s="1">
        <v>108</v>
      </c>
      <c r="G1278" s="1">
        <v>26.26</v>
      </c>
      <c r="H1278" s="1">
        <v>2836.08</v>
      </c>
      <c r="I1278" s="1">
        <v>1850.83</v>
      </c>
      <c r="J1278" s="1">
        <v>985.25</v>
      </c>
      <c r="K1278" s="8" t="str">
        <f t="shared" si="19"/>
        <v>Jul</v>
      </c>
    </row>
    <row r="1279" spans="1:11">
      <c r="A1279" s="1" t="s">
        <v>1303</v>
      </c>
      <c r="B1279" s="2">
        <v>45914</v>
      </c>
      <c r="C1279" s="1" t="s">
        <v>12</v>
      </c>
      <c r="D1279" s="1" t="s">
        <v>29</v>
      </c>
      <c r="E1279" s="1" t="s">
        <v>26</v>
      </c>
      <c r="F1279" s="1">
        <v>39</v>
      </c>
      <c r="G1279" s="1">
        <v>11.1</v>
      </c>
      <c r="H1279" s="1">
        <v>432.9</v>
      </c>
      <c r="I1279" s="1">
        <v>285.63</v>
      </c>
      <c r="J1279" s="1">
        <v>147.27000000000001</v>
      </c>
      <c r="K1279" s="8" t="str">
        <f t="shared" si="19"/>
        <v>Sep</v>
      </c>
    </row>
    <row r="1280" spans="1:11">
      <c r="A1280" s="1" t="s">
        <v>1304</v>
      </c>
      <c r="B1280" s="2">
        <v>45670</v>
      </c>
      <c r="C1280" s="1" t="s">
        <v>36</v>
      </c>
      <c r="D1280" s="1" t="s">
        <v>17</v>
      </c>
      <c r="E1280" s="1" t="s">
        <v>14</v>
      </c>
      <c r="F1280" s="1">
        <v>209</v>
      </c>
      <c r="G1280" s="1">
        <v>39.22</v>
      </c>
      <c r="H1280" s="1">
        <v>8196.98</v>
      </c>
      <c r="I1280" s="1">
        <v>6288.13</v>
      </c>
      <c r="J1280" s="1">
        <v>1908.85</v>
      </c>
      <c r="K1280" s="8" t="str">
        <f t="shared" si="19"/>
        <v>Jan</v>
      </c>
    </row>
    <row r="1281" spans="1:11">
      <c r="A1281" s="1" t="s">
        <v>1305</v>
      </c>
      <c r="B1281" s="2">
        <v>45666</v>
      </c>
      <c r="C1281" s="1" t="s">
        <v>36</v>
      </c>
      <c r="D1281" s="1" t="s">
        <v>29</v>
      </c>
      <c r="E1281" s="1" t="s">
        <v>33</v>
      </c>
      <c r="F1281" s="1">
        <v>241</v>
      </c>
      <c r="G1281" s="1">
        <v>14.25</v>
      </c>
      <c r="H1281" s="1">
        <v>3434.25</v>
      </c>
      <c r="I1281" s="1">
        <v>2084.77</v>
      </c>
      <c r="J1281" s="1">
        <v>1349.48</v>
      </c>
      <c r="K1281" s="8" t="str">
        <f t="shared" si="19"/>
        <v>Jan</v>
      </c>
    </row>
    <row r="1282" spans="1:11">
      <c r="A1282" s="1" t="s">
        <v>1306</v>
      </c>
      <c r="B1282" s="2">
        <v>45895</v>
      </c>
      <c r="C1282" s="1" t="s">
        <v>12</v>
      </c>
      <c r="D1282" s="1" t="s">
        <v>17</v>
      </c>
      <c r="E1282" s="1" t="s">
        <v>26</v>
      </c>
      <c r="F1282" s="1">
        <v>170</v>
      </c>
      <c r="G1282" s="1">
        <v>27.13</v>
      </c>
      <c r="H1282" s="1">
        <v>4612.1000000000004</v>
      </c>
      <c r="I1282" s="1">
        <v>3473.99</v>
      </c>
      <c r="J1282" s="1">
        <v>1138.1099999999999</v>
      </c>
      <c r="K1282" s="8" t="str">
        <f t="shared" ref="K1282:K1345" si="20">TEXT(B1282,"mmm")</f>
        <v>Aug</v>
      </c>
    </row>
    <row r="1283" spans="1:11">
      <c r="A1283" s="1" t="s">
        <v>1307</v>
      </c>
      <c r="B1283" s="2">
        <v>45805</v>
      </c>
      <c r="C1283" s="1" t="s">
        <v>16</v>
      </c>
      <c r="D1283" s="1" t="s">
        <v>17</v>
      </c>
      <c r="E1283" s="1" t="s">
        <v>26</v>
      </c>
      <c r="F1283" s="1">
        <v>184</v>
      </c>
      <c r="G1283" s="1">
        <v>36.74</v>
      </c>
      <c r="H1283" s="1">
        <v>6760.16</v>
      </c>
      <c r="I1283" s="1">
        <v>4080.48</v>
      </c>
      <c r="J1283" s="1">
        <v>2679.68</v>
      </c>
      <c r="K1283" s="8" t="str">
        <f t="shared" si="20"/>
        <v>May</v>
      </c>
    </row>
    <row r="1284" spans="1:11">
      <c r="A1284" s="1" t="s">
        <v>1308</v>
      </c>
      <c r="B1284" s="2">
        <v>45926</v>
      </c>
      <c r="C1284" s="1" t="s">
        <v>28</v>
      </c>
      <c r="D1284" s="1" t="s">
        <v>13</v>
      </c>
      <c r="E1284" s="1" t="s">
        <v>26</v>
      </c>
      <c r="F1284" s="1">
        <v>223</v>
      </c>
      <c r="G1284" s="1">
        <v>35.700000000000003</v>
      </c>
      <c r="H1284" s="1">
        <v>7961.1</v>
      </c>
      <c r="I1284" s="1">
        <v>6032.92</v>
      </c>
      <c r="J1284" s="1">
        <v>1928.18</v>
      </c>
      <c r="K1284" s="8" t="str">
        <f t="shared" si="20"/>
        <v>Sep</v>
      </c>
    </row>
    <row r="1285" spans="1:11">
      <c r="A1285" s="1" t="s">
        <v>1309</v>
      </c>
      <c r="B1285" s="2">
        <v>45795</v>
      </c>
      <c r="C1285" s="1" t="s">
        <v>12</v>
      </c>
      <c r="D1285" s="1" t="s">
        <v>29</v>
      </c>
      <c r="E1285" s="1" t="s">
        <v>23</v>
      </c>
      <c r="F1285" s="1">
        <v>16</v>
      </c>
      <c r="G1285" s="1">
        <v>21.68</v>
      </c>
      <c r="H1285" s="1">
        <v>346.88</v>
      </c>
      <c r="I1285" s="1">
        <v>269.01</v>
      </c>
      <c r="J1285" s="1">
        <v>77.87</v>
      </c>
      <c r="K1285" s="8" t="str">
        <f t="shared" si="20"/>
        <v>May</v>
      </c>
    </row>
    <row r="1286" spans="1:11">
      <c r="A1286" s="1" t="s">
        <v>1310</v>
      </c>
      <c r="B1286" s="2">
        <v>45778</v>
      </c>
      <c r="C1286" s="1" t="s">
        <v>31</v>
      </c>
      <c r="D1286" s="1" t="s">
        <v>29</v>
      </c>
      <c r="E1286" s="1" t="s">
        <v>26</v>
      </c>
      <c r="F1286" s="1">
        <v>212</v>
      </c>
      <c r="G1286" s="1">
        <v>35.71</v>
      </c>
      <c r="H1286" s="1">
        <v>7570.52</v>
      </c>
      <c r="I1286" s="1">
        <v>4724.5600000000004</v>
      </c>
      <c r="J1286" s="1">
        <v>2845.96</v>
      </c>
      <c r="K1286" s="8" t="str">
        <f t="shared" si="20"/>
        <v>May</v>
      </c>
    </row>
    <row r="1287" spans="1:11">
      <c r="A1287" s="1" t="s">
        <v>1311</v>
      </c>
      <c r="B1287" s="2">
        <v>46010</v>
      </c>
      <c r="C1287" s="1" t="s">
        <v>12</v>
      </c>
      <c r="D1287" s="1" t="s">
        <v>29</v>
      </c>
      <c r="E1287" s="1" t="s">
        <v>20</v>
      </c>
      <c r="F1287" s="1">
        <v>275</v>
      </c>
      <c r="G1287" s="1">
        <v>22.45</v>
      </c>
      <c r="H1287" s="1">
        <v>6173.75</v>
      </c>
      <c r="I1287" s="1">
        <v>4656.41</v>
      </c>
      <c r="J1287" s="1">
        <v>1517.34</v>
      </c>
      <c r="K1287" s="8" t="str">
        <f t="shared" si="20"/>
        <v>Dec</v>
      </c>
    </row>
    <row r="1288" spans="1:11">
      <c r="A1288" s="1" t="s">
        <v>1312</v>
      </c>
      <c r="B1288" s="2">
        <v>45929</v>
      </c>
      <c r="C1288" s="1" t="s">
        <v>22</v>
      </c>
      <c r="D1288" s="1" t="s">
        <v>13</v>
      </c>
      <c r="E1288" s="1" t="s">
        <v>14</v>
      </c>
      <c r="F1288" s="1">
        <v>14</v>
      </c>
      <c r="G1288" s="1">
        <v>12.46</v>
      </c>
      <c r="H1288" s="1">
        <v>174.44</v>
      </c>
      <c r="I1288" s="1">
        <v>130.85</v>
      </c>
      <c r="J1288" s="1">
        <v>43.59</v>
      </c>
      <c r="K1288" s="8" t="str">
        <f t="shared" si="20"/>
        <v>Sep</v>
      </c>
    </row>
    <row r="1289" spans="1:11">
      <c r="A1289" s="1" t="s">
        <v>1313</v>
      </c>
      <c r="B1289" s="2">
        <v>45832</v>
      </c>
      <c r="C1289" s="1" t="s">
        <v>28</v>
      </c>
      <c r="D1289" s="1" t="s">
        <v>29</v>
      </c>
      <c r="E1289" s="1" t="s">
        <v>20</v>
      </c>
      <c r="F1289" s="1">
        <v>210</v>
      </c>
      <c r="G1289" s="1">
        <v>39.659999999999997</v>
      </c>
      <c r="H1289" s="1">
        <v>8328.6</v>
      </c>
      <c r="I1289" s="1">
        <v>5097.6099999999997</v>
      </c>
      <c r="J1289" s="1">
        <v>3230.99</v>
      </c>
      <c r="K1289" s="8" t="str">
        <f t="shared" si="20"/>
        <v>Jun</v>
      </c>
    </row>
    <row r="1290" spans="1:11">
      <c r="A1290" s="1" t="s">
        <v>1314</v>
      </c>
      <c r="B1290" s="2">
        <v>45914</v>
      </c>
      <c r="C1290" s="1" t="s">
        <v>16</v>
      </c>
      <c r="D1290" s="1" t="s">
        <v>13</v>
      </c>
      <c r="E1290" s="1" t="s">
        <v>14</v>
      </c>
      <c r="F1290" s="1">
        <v>264</v>
      </c>
      <c r="G1290" s="1">
        <v>15.98</v>
      </c>
      <c r="H1290" s="1">
        <v>4218.72</v>
      </c>
      <c r="I1290" s="1">
        <v>2787.77</v>
      </c>
      <c r="J1290" s="1">
        <v>1430.95</v>
      </c>
      <c r="K1290" s="8" t="str">
        <f t="shared" si="20"/>
        <v>Sep</v>
      </c>
    </row>
    <row r="1291" spans="1:11">
      <c r="A1291" s="1" t="s">
        <v>1315</v>
      </c>
      <c r="B1291" s="2">
        <v>45869</v>
      </c>
      <c r="C1291" s="1" t="s">
        <v>22</v>
      </c>
      <c r="D1291" s="1" t="s">
        <v>17</v>
      </c>
      <c r="E1291" s="1" t="s">
        <v>26</v>
      </c>
      <c r="F1291" s="1">
        <v>115</v>
      </c>
      <c r="G1291" s="1">
        <v>32.33</v>
      </c>
      <c r="H1291" s="1">
        <v>3717.95</v>
      </c>
      <c r="I1291" s="1">
        <v>2753.25</v>
      </c>
      <c r="J1291" s="1">
        <v>964.7</v>
      </c>
      <c r="K1291" s="8" t="str">
        <f t="shared" si="20"/>
        <v>Jul</v>
      </c>
    </row>
    <row r="1292" spans="1:11">
      <c r="A1292" s="1" t="s">
        <v>1316</v>
      </c>
      <c r="B1292" s="2">
        <v>45831</v>
      </c>
      <c r="C1292" s="1" t="s">
        <v>12</v>
      </c>
      <c r="D1292" s="1" t="s">
        <v>17</v>
      </c>
      <c r="E1292" s="1" t="s">
        <v>26</v>
      </c>
      <c r="F1292" s="1">
        <v>208</v>
      </c>
      <c r="G1292" s="1">
        <v>27.2</v>
      </c>
      <c r="H1292" s="1">
        <v>5657.6</v>
      </c>
      <c r="I1292" s="1">
        <v>3856.36</v>
      </c>
      <c r="J1292" s="1">
        <v>1801.24</v>
      </c>
      <c r="K1292" s="8" t="str">
        <f t="shared" si="20"/>
        <v>Jun</v>
      </c>
    </row>
    <row r="1293" spans="1:11">
      <c r="A1293" s="1" t="s">
        <v>1317</v>
      </c>
      <c r="B1293" s="2">
        <v>45704</v>
      </c>
      <c r="C1293" s="1" t="s">
        <v>28</v>
      </c>
      <c r="D1293" s="1" t="s">
        <v>13</v>
      </c>
      <c r="E1293" s="1" t="s">
        <v>33</v>
      </c>
      <c r="F1293" s="1">
        <v>59</v>
      </c>
      <c r="G1293" s="1">
        <v>13.17</v>
      </c>
      <c r="H1293" s="1">
        <v>777.03</v>
      </c>
      <c r="I1293" s="1">
        <v>550.35</v>
      </c>
      <c r="J1293" s="1">
        <v>226.68</v>
      </c>
      <c r="K1293" s="8" t="str">
        <f t="shared" si="20"/>
        <v>Feb</v>
      </c>
    </row>
    <row r="1294" spans="1:11">
      <c r="A1294" s="1" t="s">
        <v>1318</v>
      </c>
      <c r="B1294" s="2">
        <v>45702</v>
      </c>
      <c r="C1294" s="1" t="s">
        <v>12</v>
      </c>
      <c r="D1294" s="1" t="s">
        <v>29</v>
      </c>
      <c r="E1294" s="1" t="s">
        <v>20</v>
      </c>
      <c r="F1294" s="1">
        <v>26</v>
      </c>
      <c r="G1294" s="1">
        <v>16.18</v>
      </c>
      <c r="H1294" s="1">
        <v>420.68</v>
      </c>
      <c r="I1294" s="1">
        <v>313.14999999999998</v>
      </c>
      <c r="J1294" s="1">
        <v>107.53</v>
      </c>
      <c r="K1294" s="8" t="str">
        <f t="shared" si="20"/>
        <v>Feb</v>
      </c>
    </row>
    <row r="1295" spans="1:11">
      <c r="A1295" s="1" t="s">
        <v>1319</v>
      </c>
      <c r="B1295" s="2">
        <v>45975</v>
      </c>
      <c r="C1295" s="1" t="s">
        <v>31</v>
      </c>
      <c r="D1295" s="1" t="s">
        <v>13</v>
      </c>
      <c r="E1295" s="1" t="s">
        <v>33</v>
      </c>
      <c r="F1295" s="1">
        <v>299</v>
      </c>
      <c r="G1295" s="1">
        <v>22.62</v>
      </c>
      <c r="H1295" s="1">
        <v>6763.38</v>
      </c>
      <c r="I1295" s="1">
        <v>4381.4399999999996</v>
      </c>
      <c r="J1295" s="1">
        <v>2381.94</v>
      </c>
      <c r="K1295" s="8" t="str">
        <f t="shared" si="20"/>
        <v>Nov</v>
      </c>
    </row>
    <row r="1296" spans="1:11">
      <c r="A1296" s="1" t="s">
        <v>1320</v>
      </c>
      <c r="B1296" s="2">
        <v>45831</v>
      </c>
      <c r="C1296" s="1" t="s">
        <v>31</v>
      </c>
      <c r="D1296" s="1" t="s">
        <v>29</v>
      </c>
      <c r="E1296" s="1" t="s">
        <v>18</v>
      </c>
      <c r="F1296" s="1">
        <v>244</v>
      </c>
      <c r="G1296" s="1">
        <v>37.979999999999997</v>
      </c>
      <c r="H1296" s="1">
        <v>9267.1200000000008</v>
      </c>
      <c r="I1296" s="1">
        <v>5879.18</v>
      </c>
      <c r="J1296" s="1">
        <v>3387.94</v>
      </c>
      <c r="K1296" s="8" t="str">
        <f t="shared" si="20"/>
        <v>Jun</v>
      </c>
    </row>
    <row r="1297" spans="1:11">
      <c r="A1297" s="1" t="s">
        <v>1321</v>
      </c>
      <c r="B1297" s="2">
        <v>45688</v>
      </c>
      <c r="C1297" s="1" t="s">
        <v>31</v>
      </c>
      <c r="D1297" s="1" t="s">
        <v>29</v>
      </c>
      <c r="E1297" s="1" t="s">
        <v>33</v>
      </c>
      <c r="F1297" s="1">
        <v>164</v>
      </c>
      <c r="G1297" s="1">
        <v>16.54</v>
      </c>
      <c r="H1297" s="1">
        <v>2712.56</v>
      </c>
      <c r="I1297" s="1">
        <v>1750.92</v>
      </c>
      <c r="J1297" s="1">
        <v>961.64</v>
      </c>
      <c r="K1297" s="8" t="str">
        <f t="shared" si="20"/>
        <v>Jan</v>
      </c>
    </row>
    <row r="1298" spans="1:11">
      <c r="A1298" s="1" t="s">
        <v>1322</v>
      </c>
      <c r="B1298" s="2">
        <v>45984</v>
      </c>
      <c r="C1298" s="1" t="s">
        <v>12</v>
      </c>
      <c r="D1298" s="1" t="s">
        <v>29</v>
      </c>
      <c r="E1298" s="1" t="s">
        <v>20</v>
      </c>
      <c r="F1298" s="1">
        <v>292</v>
      </c>
      <c r="G1298" s="1">
        <v>20.99</v>
      </c>
      <c r="H1298" s="1">
        <v>6129.08</v>
      </c>
      <c r="I1298" s="1">
        <v>3678.2</v>
      </c>
      <c r="J1298" s="1">
        <v>2450.88</v>
      </c>
      <c r="K1298" s="8" t="str">
        <f t="shared" si="20"/>
        <v>Nov</v>
      </c>
    </row>
    <row r="1299" spans="1:11">
      <c r="A1299" s="1" t="s">
        <v>1323</v>
      </c>
      <c r="B1299" s="2">
        <v>45695</v>
      </c>
      <c r="C1299" s="1" t="s">
        <v>36</v>
      </c>
      <c r="D1299" s="1" t="s">
        <v>13</v>
      </c>
      <c r="E1299" s="1" t="s">
        <v>26</v>
      </c>
      <c r="F1299" s="1">
        <v>67</v>
      </c>
      <c r="G1299" s="1">
        <v>39.78</v>
      </c>
      <c r="H1299" s="1">
        <v>2665.26</v>
      </c>
      <c r="I1299" s="1">
        <v>1990.7</v>
      </c>
      <c r="J1299" s="1">
        <v>674.56</v>
      </c>
      <c r="K1299" s="8" t="str">
        <f t="shared" si="20"/>
        <v>Feb</v>
      </c>
    </row>
    <row r="1300" spans="1:11">
      <c r="A1300" s="1" t="s">
        <v>1324</v>
      </c>
      <c r="B1300" s="2">
        <v>45740</v>
      </c>
      <c r="C1300" s="1" t="s">
        <v>31</v>
      </c>
      <c r="D1300" s="1" t="s">
        <v>17</v>
      </c>
      <c r="E1300" s="1" t="s">
        <v>20</v>
      </c>
      <c r="F1300" s="1">
        <v>263</v>
      </c>
      <c r="G1300" s="1">
        <v>14.81</v>
      </c>
      <c r="H1300" s="1">
        <v>3895.03</v>
      </c>
      <c r="I1300" s="1">
        <v>2759.4</v>
      </c>
      <c r="J1300" s="1">
        <v>1135.6300000000001</v>
      </c>
      <c r="K1300" s="8" t="str">
        <f t="shared" si="20"/>
        <v>Mar</v>
      </c>
    </row>
    <row r="1301" spans="1:11">
      <c r="A1301" s="1" t="s">
        <v>1325</v>
      </c>
      <c r="B1301" s="2">
        <v>45905</v>
      </c>
      <c r="C1301" s="1" t="s">
        <v>31</v>
      </c>
      <c r="D1301" s="1" t="s">
        <v>13</v>
      </c>
      <c r="E1301" s="1" t="s">
        <v>18</v>
      </c>
      <c r="F1301" s="1">
        <v>11</v>
      </c>
      <c r="G1301" s="1">
        <v>34.43</v>
      </c>
      <c r="H1301" s="1">
        <v>378.73</v>
      </c>
      <c r="I1301" s="1">
        <v>279.17</v>
      </c>
      <c r="J1301" s="1">
        <v>99.56</v>
      </c>
      <c r="K1301" s="8" t="str">
        <f t="shared" si="20"/>
        <v>Sep</v>
      </c>
    </row>
    <row r="1302" spans="1:11">
      <c r="A1302" s="1" t="s">
        <v>1326</v>
      </c>
      <c r="B1302" s="2">
        <v>45792</v>
      </c>
      <c r="C1302" s="1" t="s">
        <v>12</v>
      </c>
      <c r="D1302" s="1" t="s">
        <v>17</v>
      </c>
      <c r="E1302" s="1" t="s">
        <v>33</v>
      </c>
      <c r="F1302" s="1">
        <v>194</v>
      </c>
      <c r="G1302" s="1">
        <v>19.8</v>
      </c>
      <c r="H1302" s="1">
        <v>3841.2</v>
      </c>
      <c r="I1302" s="1">
        <v>2417.6</v>
      </c>
      <c r="J1302" s="1">
        <v>1423.6</v>
      </c>
      <c r="K1302" s="8" t="str">
        <f t="shared" si="20"/>
        <v>May</v>
      </c>
    </row>
    <row r="1303" spans="1:11">
      <c r="A1303" s="1" t="s">
        <v>1327</v>
      </c>
      <c r="B1303" s="2">
        <v>45962</v>
      </c>
      <c r="C1303" s="1" t="s">
        <v>16</v>
      </c>
      <c r="D1303" s="1" t="s">
        <v>17</v>
      </c>
      <c r="E1303" s="1" t="s">
        <v>18</v>
      </c>
      <c r="F1303" s="1">
        <v>262</v>
      </c>
      <c r="G1303" s="1">
        <v>29.88</v>
      </c>
      <c r="H1303" s="1">
        <v>7828.56</v>
      </c>
      <c r="I1303" s="1">
        <v>5715.43</v>
      </c>
      <c r="J1303" s="1">
        <v>2113.13</v>
      </c>
      <c r="K1303" s="8" t="str">
        <f t="shared" si="20"/>
        <v>Nov</v>
      </c>
    </row>
    <row r="1304" spans="1:11">
      <c r="A1304" s="1" t="s">
        <v>1328</v>
      </c>
      <c r="B1304" s="2">
        <v>45994</v>
      </c>
      <c r="C1304" s="1" t="s">
        <v>22</v>
      </c>
      <c r="D1304" s="1" t="s">
        <v>13</v>
      </c>
      <c r="E1304" s="1" t="s">
        <v>23</v>
      </c>
      <c r="F1304" s="1">
        <v>115</v>
      </c>
      <c r="G1304" s="1">
        <v>34.979999999999997</v>
      </c>
      <c r="H1304" s="1">
        <v>4022.7</v>
      </c>
      <c r="I1304" s="1">
        <v>2803.15</v>
      </c>
      <c r="J1304" s="1">
        <v>1219.55</v>
      </c>
      <c r="K1304" s="8" t="str">
        <f t="shared" si="20"/>
        <v>Dec</v>
      </c>
    </row>
    <row r="1305" spans="1:11">
      <c r="A1305" s="1" t="s">
        <v>1329</v>
      </c>
      <c r="B1305" s="2">
        <v>45890</v>
      </c>
      <c r="C1305" s="1" t="s">
        <v>22</v>
      </c>
      <c r="D1305" s="1" t="s">
        <v>29</v>
      </c>
      <c r="E1305" s="1" t="s">
        <v>23</v>
      </c>
      <c r="F1305" s="1">
        <v>297</v>
      </c>
      <c r="G1305" s="1">
        <v>39.65</v>
      </c>
      <c r="H1305" s="1">
        <v>11776.05</v>
      </c>
      <c r="I1305" s="1">
        <v>7077.89</v>
      </c>
      <c r="J1305" s="1">
        <v>4698.16</v>
      </c>
      <c r="K1305" s="8" t="str">
        <f t="shared" si="20"/>
        <v>Aug</v>
      </c>
    </row>
    <row r="1306" spans="1:11">
      <c r="A1306" s="1" t="s">
        <v>1330</v>
      </c>
      <c r="B1306" s="2">
        <v>46002</v>
      </c>
      <c r="C1306" s="1" t="s">
        <v>28</v>
      </c>
      <c r="D1306" s="1" t="s">
        <v>29</v>
      </c>
      <c r="E1306" s="1" t="s">
        <v>26</v>
      </c>
      <c r="F1306" s="1">
        <v>107</v>
      </c>
      <c r="G1306" s="1">
        <v>28.85</v>
      </c>
      <c r="H1306" s="1">
        <v>3086.95</v>
      </c>
      <c r="I1306" s="1">
        <v>2235.11</v>
      </c>
      <c r="J1306" s="1">
        <v>851.84</v>
      </c>
      <c r="K1306" s="8" t="str">
        <f t="shared" si="20"/>
        <v>Dec</v>
      </c>
    </row>
    <row r="1307" spans="1:11">
      <c r="A1307" s="1" t="s">
        <v>1331</v>
      </c>
      <c r="B1307" s="2">
        <v>45994</v>
      </c>
      <c r="C1307" s="1" t="s">
        <v>31</v>
      </c>
      <c r="D1307" s="1" t="s">
        <v>13</v>
      </c>
      <c r="E1307" s="1" t="s">
        <v>26</v>
      </c>
      <c r="F1307" s="1">
        <v>18</v>
      </c>
      <c r="G1307" s="1">
        <v>15.87</v>
      </c>
      <c r="H1307" s="1">
        <v>285.66000000000003</v>
      </c>
      <c r="I1307" s="1">
        <v>204.19</v>
      </c>
      <c r="J1307" s="1">
        <v>81.47</v>
      </c>
      <c r="K1307" s="8" t="str">
        <f t="shared" si="20"/>
        <v>Dec</v>
      </c>
    </row>
    <row r="1308" spans="1:11">
      <c r="A1308" s="1" t="s">
        <v>1332</v>
      </c>
      <c r="B1308" s="2">
        <v>45745</v>
      </c>
      <c r="C1308" s="1" t="s">
        <v>28</v>
      </c>
      <c r="D1308" s="1" t="s">
        <v>17</v>
      </c>
      <c r="E1308" s="1" t="s">
        <v>20</v>
      </c>
      <c r="F1308" s="1">
        <v>237</v>
      </c>
      <c r="G1308" s="1">
        <v>20.39</v>
      </c>
      <c r="H1308" s="1">
        <v>4832.43</v>
      </c>
      <c r="I1308" s="1">
        <v>3093.05</v>
      </c>
      <c r="J1308" s="1">
        <v>1739.38</v>
      </c>
      <c r="K1308" s="8" t="str">
        <f t="shared" si="20"/>
        <v>Mar</v>
      </c>
    </row>
    <row r="1309" spans="1:11">
      <c r="A1309" s="1" t="s">
        <v>1333</v>
      </c>
      <c r="B1309" s="2">
        <v>45791</v>
      </c>
      <c r="C1309" s="1" t="s">
        <v>22</v>
      </c>
      <c r="D1309" s="1" t="s">
        <v>17</v>
      </c>
      <c r="E1309" s="1" t="s">
        <v>18</v>
      </c>
      <c r="F1309" s="1">
        <v>217</v>
      </c>
      <c r="G1309" s="1">
        <v>27.23</v>
      </c>
      <c r="H1309" s="1">
        <v>5908.91</v>
      </c>
      <c r="I1309" s="1">
        <v>4341.1099999999997</v>
      </c>
      <c r="J1309" s="1">
        <v>1567.8</v>
      </c>
      <c r="K1309" s="8" t="str">
        <f t="shared" si="20"/>
        <v>May</v>
      </c>
    </row>
    <row r="1310" spans="1:11">
      <c r="A1310" s="1" t="s">
        <v>1334</v>
      </c>
      <c r="B1310" s="2">
        <v>45868</v>
      </c>
      <c r="C1310" s="1" t="s">
        <v>22</v>
      </c>
      <c r="D1310" s="1" t="s">
        <v>13</v>
      </c>
      <c r="E1310" s="1" t="s">
        <v>14</v>
      </c>
      <c r="F1310" s="1">
        <v>61</v>
      </c>
      <c r="G1310" s="1">
        <v>22.74</v>
      </c>
      <c r="H1310" s="1">
        <v>1387.14</v>
      </c>
      <c r="I1310" s="1">
        <v>979.39</v>
      </c>
      <c r="J1310" s="1">
        <v>407.75</v>
      </c>
      <c r="K1310" s="8" t="str">
        <f t="shared" si="20"/>
        <v>Jul</v>
      </c>
    </row>
    <row r="1311" spans="1:11">
      <c r="A1311" s="1" t="s">
        <v>1335</v>
      </c>
      <c r="B1311" s="2">
        <v>45734</v>
      </c>
      <c r="C1311" s="1" t="s">
        <v>22</v>
      </c>
      <c r="D1311" s="1" t="s">
        <v>17</v>
      </c>
      <c r="E1311" s="1" t="s">
        <v>23</v>
      </c>
      <c r="F1311" s="1">
        <v>82</v>
      </c>
      <c r="G1311" s="1">
        <v>25.74</v>
      </c>
      <c r="H1311" s="1">
        <v>2110.6799999999998</v>
      </c>
      <c r="I1311" s="1">
        <v>1626.72</v>
      </c>
      <c r="J1311" s="1">
        <v>483.96</v>
      </c>
      <c r="K1311" s="8" t="str">
        <f t="shared" si="20"/>
        <v>Mar</v>
      </c>
    </row>
    <row r="1312" spans="1:11">
      <c r="A1312" s="1" t="s">
        <v>1336</v>
      </c>
      <c r="B1312" s="2">
        <v>45744</v>
      </c>
      <c r="C1312" s="1" t="s">
        <v>16</v>
      </c>
      <c r="D1312" s="1" t="s">
        <v>17</v>
      </c>
      <c r="E1312" s="1" t="s">
        <v>14</v>
      </c>
      <c r="F1312" s="1">
        <v>115</v>
      </c>
      <c r="G1312" s="1">
        <v>17.25</v>
      </c>
      <c r="H1312" s="1">
        <v>1983.75</v>
      </c>
      <c r="I1312" s="1">
        <v>1248.56</v>
      </c>
      <c r="J1312" s="1">
        <v>735.19</v>
      </c>
      <c r="K1312" s="8" t="str">
        <f t="shared" si="20"/>
        <v>Mar</v>
      </c>
    </row>
    <row r="1313" spans="1:11">
      <c r="A1313" s="1" t="s">
        <v>1337</v>
      </c>
      <c r="B1313" s="2">
        <v>46013</v>
      </c>
      <c r="C1313" s="1" t="s">
        <v>22</v>
      </c>
      <c r="D1313" s="1" t="s">
        <v>13</v>
      </c>
      <c r="E1313" s="1" t="s">
        <v>23</v>
      </c>
      <c r="F1313" s="1">
        <v>173</v>
      </c>
      <c r="G1313" s="1">
        <v>29.68</v>
      </c>
      <c r="H1313" s="1">
        <v>5134.6400000000003</v>
      </c>
      <c r="I1313" s="1">
        <v>3170.86</v>
      </c>
      <c r="J1313" s="1">
        <v>1963.78</v>
      </c>
      <c r="K1313" s="8" t="str">
        <f t="shared" si="20"/>
        <v>Dec</v>
      </c>
    </row>
    <row r="1314" spans="1:11">
      <c r="A1314" s="1" t="s">
        <v>1338</v>
      </c>
      <c r="B1314" s="2">
        <v>45929</v>
      </c>
      <c r="C1314" s="1" t="s">
        <v>12</v>
      </c>
      <c r="D1314" s="1" t="s">
        <v>29</v>
      </c>
      <c r="E1314" s="1" t="s">
        <v>26</v>
      </c>
      <c r="F1314" s="1">
        <v>19</v>
      </c>
      <c r="G1314" s="1">
        <v>10.8</v>
      </c>
      <c r="H1314" s="1">
        <v>205.2</v>
      </c>
      <c r="I1314" s="1">
        <v>126.98</v>
      </c>
      <c r="J1314" s="1">
        <v>78.22</v>
      </c>
      <c r="K1314" s="8" t="str">
        <f t="shared" si="20"/>
        <v>Sep</v>
      </c>
    </row>
    <row r="1315" spans="1:11">
      <c r="A1315" s="1" t="s">
        <v>1339</v>
      </c>
      <c r="B1315" s="2">
        <v>45711</v>
      </c>
      <c r="C1315" s="1" t="s">
        <v>12</v>
      </c>
      <c r="D1315" s="1" t="s">
        <v>17</v>
      </c>
      <c r="E1315" s="1" t="s">
        <v>14</v>
      </c>
      <c r="F1315" s="1">
        <v>199</v>
      </c>
      <c r="G1315" s="1">
        <v>17.21</v>
      </c>
      <c r="H1315" s="1">
        <v>3424.79</v>
      </c>
      <c r="I1315" s="1">
        <v>2458.4899999999998</v>
      </c>
      <c r="J1315" s="1">
        <v>966.3</v>
      </c>
      <c r="K1315" s="8" t="str">
        <f t="shared" si="20"/>
        <v>Feb</v>
      </c>
    </row>
    <row r="1316" spans="1:11">
      <c r="A1316" s="1" t="s">
        <v>1340</v>
      </c>
      <c r="B1316" s="2">
        <v>45860</v>
      </c>
      <c r="C1316" s="1" t="s">
        <v>36</v>
      </c>
      <c r="D1316" s="1" t="s">
        <v>13</v>
      </c>
      <c r="E1316" s="1" t="s">
        <v>33</v>
      </c>
      <c r="F1316" s="1">
        <v>299</v>
      </c>
      <c r="G1316" s="1">
        <v>22.7</v>
      </c>
      <c r="H1316" s="1">
        <v>6787.3</v>
      </c>
      <c r="I1316" s="1">
        <v>4805.7299999999996</v>
      </c>
      <c r="J1316" s="1">
        <v>1981.57</v>
      </c>
      <c r="K1316" s="8" t="str">
        <f t="shared" si="20"/>
        <v>Jul</v>
      </c>
    </row>
    <row r="1317" spans="1:11">
      <c r="A1317" s="1" t="s">
        <v>1341</v>
      </c>
      <c r="B1317" s="2">
        <v>45933</v>
      </c>
      <c r="C1317" s="1" t="s">
        <v>22</v>
      </c>
      <c r="D1317" s="1" t="s">
        <v>13</v>
      </c>
      <c r="E1317" s="1" t="s">
        <v>23</v>
      </c>
      <c r="F1317" s="1">
        <v>32</v>
      </c>
      <c r="G1317" s="1">
        <v>39.119999999999997</v>
      </c>
      <c r="H1317" s="1">
        <v>1251.8399999999999</v>
      </c>
      <c r="I1317" s="1">
        <v>941.38</v>
      </c>
      <c r="J1317" s="1">
        <v>310.45999999999998</v>
      </c>
      <c r="K1317" s="8" t="str">
        <f t="shared" si="20"/>
        <v>Oct</v>
      </c>
    </row>
    <row r="1318" spans="1:11">
      <c r="A1318" s="1" t="s">
        <v>1342</v>
      </c>
      <c r="B1318" s="2">
        <v>45861</v>
      </c>
      <c r="C1318" s="1" t="s">
        <v>28</v>
      </c>
      <c r="D1318" s="1" t="s">
        <v>13</v>
      </c>
      <c r="E1318" s="1" t="s">
        <v>33</v>
      </c>
      <c r="F1318" s="1">
        <v>235</v>
      </c>
      <c r="G1318" s="1">
        <v>37.25</v>
      </c>
      <c r="H1318" s="1">
        <v>8753.75</v>
      </c>
      <c r="I1318" s="1">
        <v>6006.28</v>
      </c>
      <c r="J1318" s="1">
        <v>2747.47</v>
      </c>
      <c r="K1318" s="8" t="str">
        <f t="shared" si="20"/>
        <v>Jul</v>
      </c>
    </row>
    <row r="1319" spans="1:11">
      <c r="A1319" s="1" t="s">
        <v>1343</v>
      </c>
      <c r="B1319" s="2">
        <v>46021</v>
      </c>
      <c r="C1319" s="1" t="s">
        <v>36</v>
      </c>
      <c r="D1319" s="1" t="s">
        <v>17</v>
      </c>
      <c r="E1319" s="1" t="s">
        <v>33</v>
      </c>
      <c r="F1319" s="1">
        <v>46</v>
      </c>
      <c r="G1319" s="1">
        <v>24.68</v>
      </c>
      <c r="H1319" s="1">
        <v>1135.28</v>
      </c>
      <c r="I1319" s="1">
        <v>778.1</v>
      </c>
      <c r="J1319" s="1">
        <v>357.18</v>
      </c>
      <c r="K1319" s="8" t="str">
        <f t="shared" si="20"/>
        <v>Dec</v>
      </c>
    </row>
    <row r="1320" spans="1:11">
      <c r="A1320" s="1" t="s">
        <v>1344</v>
      </c>
      <c r="B1320" s="2">
        <v>45812</v>
      </c>
      <c r="C1320" s="1" t="s">
        <v>36</v>
      </c>
      <c r="D1320" s="1" t="s">
        <v>17</v>
      </c>
      <c r="E1320" s="1" t="s">
        <v>33</v>
      </c>
      <c r="F1320" s="1">
        <v>233</v>
      </c>
      <c r="G1320" s="1">
        <v>34</v>
      </c>
      <c r="H1320" s="1">
        <v>7922</v>
      </c>
      <c r="I1320" s="1">
        <v>5171.29</v>
      </c>
      <c r="J1320" s="1">
        <v>2750.71</v>
      </c>
      <c r="K1320" s="8" t="str">
        <f t="shared" si="20"/>
        <v>Jun</v>
      </c>
    </row>
    <row r="1321" spans="1:11">
      <c r="A1321" s="1" t="s">
        <v>1345</v>
      </c>
      <c r="B1321" s="2">
        <v>45680</v>
      </c>
      <c r="C1321" s="1" t="s">
        <v>36</v>
      </c>
      <c r="D1321" s="1" t="s">
        <v>17</v>
      </c>
      <c r="E1321" s="1" t="s">
        <v>20</v>
      </c>
      <c r="F1321" s="1">
        <v>238</v>
      </c>
      <c r="G1321" s="1">
        <v>24.93</v>
      </c>
      <c r="H1321" s="1">
        <v>5933.34</v>
      </c>
      <c r="I1321" s="1">
        <v>4153.9399999999996</v>
      </c>
      <c r="J1321" s="1">
        <v>1779.4</v>
      </c>
      <c r="K1321" s="8" t="str">
        <f t="shared" si="20"/>
        <v>Jan</v>
      </c>
    </row>
    <row r="1322" spans="1:11">
      <c r="A1322" s="1" t="s">
        <v>1346</v>
      </c>
      <c r="B1322" s="2">
        <v>45930</v>
      </c>
      <c r="C1322" s="1" t="s">
        <v>16</v>
      </c>
      <c r="D1322" s="1" t="s">
        <v>13</v>
      </c>
      <c r="E1322" s="1" t="s">
        <v>20</v>
      </c>
      <c r="F1322" s="1">
        <v>167</v>
      </c>
      <c r="G1322" s="1">
        <v>18.96</v>
      </c>
      <c r="H1322" s="1">
        <v>3166.32</v>
      </c>
      <c r="I1322" s="1">
        <v>2209.73</v>
      </c>
      <c r="J1322" s="1">
        <v>956.59</v>
      </c>
      <c r="K1322" s="8" t="str">
        <f t="shared" si="20"/>
        <v>Sep</v>
      </c>
    </row>
    <row r="1323" spans="1:11">
      <c r="A1323" s="1" t="s">
        <v>1347</v>
      </c>
      <c r="B1323" s="2">
        <v>45882</v>
      </c>
      <c r="C1323" s="1" t="s">
        <v>31</v>
      </c>
      <c r="D1323" s="1" t="s">
        <v>29</v>
      </c>
      <c r="E1323" s="1" t="s">
        <v>14</v>
      </c>
      <c r="F1323" s="1">
        <v>237</v>
      </c>
      <c r="G1323" s="1">
        <v>39.11</v>
      </c>
      <c r="H1323" s="1">
        <v>9269.07</v>
      </c>
      <c r="I1323" s="1">
        <v>6447.64</v>
      </c>
      <c r="J1323" s="1">
        <v>2821.43</v>
      </c>
      <c r="K1323" s="8" t="str">
        <f t="shared" si="20"/>
        <v>Aug</v>
      </c>
    </row>
    <row r="1324" spans="1:11">
      <c r="A1324" s="1" t="s">
        <v>1348</v>
      </c>
      <c r="B1324" s="2">
        <v>45856</v>
      </c>
      <c r="C1324" s="1" t="s">
        <v>16</v>
      </c>
      <c r="D1324" s="1" t="s">
        <v>17</v>
      </c>
      <c r="E1324" s="1" t="s">
        <v>14</v>
      </c>
      <c r="F1324" s="1">
        <v>78</v>
      </c>
      <c r="G1324" s="1">
        <v>23.76</v>
      </c>
      <c r="H1324" s="1">
        <v>1853.28</v>
      </c>
      <c r="I1324" s="1">
        <v>1344</v>
      </c>
      <c r="J1324" s="1">
        <v>509.28</v>
      </c>
      <c r="K1324" s="8" t="str">
        <f t="shared" si="20"/>
        <v>Jul</v>
      </c>
    </row>
    <row r="1325" spans="1:11">
      <c r="A1325" s="1" t="s">
        <v>1349</v>
      </c>
      <c r="B1325" s="2">
        <v>45734</v>
      </c>
      <c r="C1325" s="1" t="s">
        <v>28</v>
      </c>
      <c r="D1325" s="1" t="s">
        <v>17</v>
      </c>
      <c r="E1325" s="1" t="s">
        <v>23</v>
      </c>
      <c r="F1325" s="1">
        <v>190</v>
      </c>
      <c r="G1325" s="1">
        <v>33.369999999999997</v>
      </c>
      <c r="H1325" s="1">
        <v>6340.3</v>
      </c>
      <c r="I1325" s="1">
        <v>4210.8900000000003</v>
      </c>
      <c r="J1325" s="1">
        <v>2129.41</v>
      </c>
      <c r="K1325" s="8" t="str">
        <f t="shared" si="20"/>
        <v>Mar</v>
      </c>
    </row>
    <row r="1326" spans="1:11">
      <c r="A1326" s="1" t="s">
        <v>1350</v>
      </c>
      <c r="B1326" s="2">
        <v>45660</v>
      </c>
      <c r="C1326" s="1" t="s">
        <v>31</v>
      </c>
      <c r="D1326" s="1" t="s">
        <v>13</v>
      </c>
      <c r="E1326" s="1" t="s">
        <v>18</v>
      </c>
      <c r="F1326" s="1">
        <v>86</v>
      </c>
      <c r="G1326" s="1">
        <v>13.98</v>
      </c>
      <c r="H1326" s="1">
        <v>1202.28</v>
      </c>
      <c r="I1326" s="1">
        <v>770.94</v>
      </c>
      <c r="J1326" s="1">
        <v>431.34</v>
      </c>
      <c r="K1326" s="8" t="str">
        <f t="shared" si="20"/>
        <v>Jan</v>
      </c>
    </row>
    <row r="1327" spans="1:11">
      <c r="A1327" s="1" t="s">
        <v>1351</v>
      </c>
      <c r="B1327" s="2">
        <v>45827</v>
      </c>
      <c r="C1327" s="1" t="s">
        <v>12</v>
      </c>
      <c r="D1327" s="1" t="s">
        <v>29</v>
      </c>
      <c r="E1327" s="1" t="s">
        <v>23</v>
      </c>
      <c r="F1327" s="1">
        <v>207</v>
      </c>
      <c r="G1327" s="1">
        <v>13.92</v>
      </c>
      <c r="H1327" s="1">
        <v>2881.44</v>
      </c>
      <c r="I1327" s="1">
        <v>2054.02</v>
      </c>
      <c r="J1327" s="1">
        <v>827.42</v>
      </c>
      <c r="K1327" s="8" t="str">
        <f t="shared" si="20"/>
        <v>Jun</v>
      </c>
    </row>
    <row r="1328" spans="1:11">
      <c r="A1328" s="1" t="s">
        <v>1352</v>
      </c>
      <c r="B1328" s="2">
        <v>45678</v>
      </c>
      <c r="C1328" s="1" t="s">
        <v>22</v>
      </c>
      <c r="D1328" s="1" t="s">
        <v>29</v>
      </c>
      <c r="E1328" s="1" t="s">
        <v>23</v>
      </c>
      <c r="F1328" s="1">
        <v>130</v>
      </c>
      <c r="G1328" s="1">
        <v>20.03</v>
      </c>
      <c r="H1328" s="1">
        <v>2603.9</v>
      </c>
      <c r="I1328" s="1">
        <v>1581.08</v>
      </c>
      <c r="J1328" s="1">
        <v>1022.82</v>
      </c>
      <c r="K1328" s="8" t="str">
        <f t="shared" si="20"/>
        <v>Jan</v>
      </c>
    </row>
    <row r="1329" spans="1:11">
      <c r="A1329" s="1" t="s">
        <v>1353</v>
      </c>
      <c r="B1329" s="2">
        <v>45947</v>
      </c>
      <c r="C1329" s="1" t="s">
        <v>28</v>
      </c>
      <c r="D1329" s="1" t="s">
        <v>29</v>
      </c>
      <c r="E1329" s="1" t="s">
        <v>18</v>
      </c>
      <c r="F1329" s="1">
        <v>44</v>
      </c>
      <c r="G1329" s="1">
        <v>37</v>
      </c>
      <c r="H1329" s="1">
        <v>1628</v>
      </c>
      <c r="I1329" s="1">
        <v>1077.2</v>
      </c>
      <c r="J1329" s="1">
        <v>550.79999999999995</v>
      </c>
      <c r="K1329" s="8" t="str">
        <f t="shared" si="20"/>
        <v>Oct</v>
      </c>
    </row>
    <row r="1330" spans="1:11">
      <c r="A1330" s="1" t="s">
        <v>1354</v>
      </c>
      <c r="B1330" s="2">
        <v>45803</v>
      </c>
      <c r="C1330" s="1" t="s">
        <v>31</v>
      </c>
      <c r="D1330" s="1" t="s">
        <v>29</v>
      </c>
      <c r="E1330" s="1" t="s">
        <v>20</v>
      </c>
      <c r="F1330" s="1">
        <v>202</v>
      </c>
      <c r="G1330" s="1">
        <v>37.549999999999997</v>
      </c>
      <c r="H1330" s="1">
        <v>7585.1</v>
      </c>
      <c r="I1330" s="1">
        <v>5110.58</v>
      </c>
      <c r="J1330" s="1">
        <v>2474.52</v>
      </c>
      <c r="K1330" s="8" t="str">
        <f t="shared" si="20"/>
        <v>May</v>
      </c>
    </row>
    <row r="1331" spans="1:11">
      <c r="A1331" s="1" t="s">
        <v>1355</v>
      </c>
      <c r="B1331" s="2">
        <v>45771</v>
      </c>
      <c r="C1331" s="1" t="s">
        <v>12</v>
      </c>
      <c r="D1331" s="1" t="s">
        <v>13</v>
      </c>
      <c r="E1331" s="1" t="s">
        <v>20</v>
      </c>
      <c r="F1331" s="1">
        <v>258</v>
      </c>
      <c r="G1331" s="1">
        <v>18.13</v>
      </c>
      <c r="H1331" s="1">
        <v>4677.54</v>
      </c>
      <c r="I1331" s="1">
        <v>3262.06</v>
      </c>
      <c r="J1331" s="1">
        <v>1415.48</v>
      </c>
      <c r="K1331" s="8" t="str">
        <f t="shared" si="20"/>
        <v>Apr</v>
      </c>
    </row>
    <row r="1332" spans="1:11">
      <c r="A1332" s="1" t="s">
        <v>1356</v>
      </c>
      <c r="B1332" s="2">
        <v>45898</v>
      </c>
      <c r="C1332" s="1" t="s">
        <v>36</v>
      </c>
      <c r="D1332" s="1" t="s">
        <v>29</v>
      </c>
      <c r="E1332" s="1" t="s">
        <v>14</v>
      </c>
      <c r="F1332" s="1">
        <v>48</v>
      </c>
      <c r="G1332" s="1">
        <v>39.72</v>
      </c>
      <c r="H1332" s="1">
        <v>1906.56</v>
      </c>
      <c r="I1332" s="1">
        <v>1336.7</v>
      </c>
      <c r="J1332" s="1">
        <v>569.86</v>
      </c>
      <c r="K1332" s="8" t="str">
        <f t="shared" si="20"/>
        <v>Aug</v>
      </c>
    </row>
    <row r="1333" spans="1:11">
      <c r="A1333" s="1" t="s">
        <v>1357</v>
      </c>
      <c r="B1333" s="2">
        <v>45694</v>
      </c>
      <c r="C1333" s="1" t="s">
        <v>28</v>
      </c>
      <c r="D1333" s="1" t="s">
        <v>13</v>
      </c>
      <c r="E1333" s="1" t="s">
        <v>18</v>
      </c>
      <c r="F1333" s="1">
        <v>70</v>
      </c>
      <c r="G1333" s="1">
        <v>32.979999999999997</v>
      </c>
      <c r="H1333" s="1">
        <v>2308.6</v>
      </c>
      <c r="I1333" s="1">
        <v>1431.56</v>
      </c>
      <c r="J1333" s="1">
        <v>877.04</v>
      </c>
      <c r="K1333" s="8" t="str">
        <f t="shared" si="20"/>
        <v>Feb</v>
      </c>
    </row>
    <row r="1334" spans="1:11">
      <c r="A1334" s="1" t="s">
        <v>1358</v>
      </c>
      <c r="B1334" s="2">
        <v>45698</v>
      </c>
      <c r="C1334" s="1" t="s">
        <v>28</v>
      </c>
      <c r="D1334" s="1" t="s">
        <v>13</v>
      </c>
      <c r="E1334" s="1" t="s">
        <v>26</v>
      </c>
      <c r="F1334" s="1">
        <v>254</v>
      </c>
      <c r="G1334" s="1">
        <v>21.05</v>
      </c>
      <c r="H1334" s="1">
        <v>5346.7</v>
      </c>
      <c r="I1334" s="1">
        <v>4119.04</v>
      </c>
      <c r="J1334" s="1">
        <v>1227.6600000000001</v>
      </c>
      <c r="K1334" s="8" t="str">
        <f t="shared" si="20"/>
        <v>Feb</v>
      </c>
    </row>
    <row r="1335" spans="1:11">
      <c r="A1335" s="1" t="s">
        <v>1359</v>
      </c>
      <c r="B1335" s="2">
        <v>45741</v>
      </c>
      <c r="C1335" s="1" t="s">
        <v>22</v>
      </c>
      <c r="D1335" s="1" t="s">
        <v>13</v>
      </c>
      <c r="E1335" s="1" t="s">
        <v>18</v>
      </c>
      <c r="F1335" s="1">
        <v>113</v>
      </c>
      <c r="G1335" s="1">
        <v>27.21</v>
      </c>
      <c r="H1335" s="1">
        <v>3074.73</v>
      </c>
      <c r="I1335" s="1">
        <v>2375.63</v>
      </c>
      <c r="J1335" s="1">
        <v>699.1</v>
      </c>
      <c r="K1335" s="8" t="str">
        <f t="shared" si="20"/>
        <v>Mar</v>
      </c>
    </row>
    <row r="1336" spans="1:11">
      <c r="A1336" s="1" t="s">
        <v>1360</v>
      </c>
      <c r="B1336" s="2">
        <v>45794</v>
      </c>
      <c r="C1336" s="1" t="s">
        <v>36</v>
      </c>
      <c r="D1336" s="1" t="s">
        <v>29</v>
      </c>
      <c r="E1336" s="1" t="s">
        <v>33</v>
      </c>
      <c r="F1336" s="1">
        <v>249</v>
      </c>
      <c r="G1336" s="1">
        <v>10.18</v>
      </c>
      <c r="H1336" s="1">
        <v>2534.8200000000002</v>
      </c>
      <c r="I1336" s="1">
        <v>1722.46</v>
      </c>
      <c r="J1336" s="1">
        <v>812.36</v>
      </c>
      <c r="K1336" s="8" t="str">
        <f t="shared" si="20"/>
        <v>May</v>
      </c>
    </row>
    <row r="1337" spans="1:11">
      <c r="A1337" s="1" t="s">
        <v>1361</v>
      </c>
      <c r="B1337" s="2">
        <v>45778</v>
      </c>
      <c r="C1337" s="1" t="s">
        <v>16</v>
      </c>
      <c r="D1337" s="1" t="s">
        <v>17</v>
      </c>
      <c r="E1337" s="1" t="s">
        <v>23</v>
      </c>
      <c r="F1337" s="1">
        <v>270</v>
      </c>
      <c r="G1337" s="1">
        <v>35.450000000000003</v>
      </c>
      <c r="H1337" s="1">
        <v>9571.5</v>
      </c>
      <c r="I1337" s="1">
        <v>6287.1</v>
      </c>
      <c r="J1337" s="1">
        <v>3284.4</v>
      </c>
      <c r="K1337" s="8" t="str">
        <f t="shared" si="20"/>
        <v>May</v>
      </c>
    </row>
    <row r="1338" spans="1:11">
      <c r="A1338" s="1" t="s">
        <v>1362</v>
      </c>
      <c r="B1338" s="2">
        <v>45683</v>
      </c>
      <c r="C1338" s="1" t="s">
        <v>22</v>
      </c>
      <c r="D1338" s="1" t="s">
        <v>29</v>
      </c>
      <c r="E1338" s="1" t="s">
        <v>20</v>
      </c>
      <c r="F1338" s="1">
        <v>138</v>
      </c>
      <c r="G1338" s="1">
        <v>36.15</v>
      </c>
      <c r="H1338" s="1">
        <v>4988.7</v>
      </c>
      <c r="I1338" s="1">
        <v>3157.54</v>
      </c>
      <c r="J1338" s="1">
        <v>1831.16</v>
      </c>
      <c r="K1338" s="8" t="str">
        <f t="shared" si="20"/>
        <v>Jan</v>
      </c>
    </row>
    <row r="1339" spans="1:11">
      <c r="A1339" s="1" t="s">
        <v>1363</v>
      </c>
      <c r="B1339" s="2">
        <v>45973</v>
      </c>
      <c r="C1339" s="1" t="s">
        <v>22</v>
      </c>
      <c r="D1339" s="1" t="s">
        <v>17</v>
      </c>
      <c r="E1339" s="1" t="s">
        <v>26</v>
      </c>
      <c r="F1339" s="1">
        <v>272</v>
      </c>
      <c r="G1339" s="1">
        <v>37.44</v>
      </c>
      <c r="H1339" s="1">
        <v>10183.68</v>
      </c>
      <c r="I1339" s="1">
        <v>8052.74</v>
      </c>
      <c r="J1339" s="1">
        <v>2130.94</v>
      </c>
      <c r="K1339" s="8" t="str">
        <f t="shared" si="20"/>
        <v>Nov</v>
      </c>
    </row>
    <row r="1340" spans="1:11">
      <c r="A1340" s="1" t="s">
        <v>1364</v>
      </c>
      <c r="B1340" s="2">
        <v>45730</v>
      </c>
      <c r="C1340" s="1" t="s">
        <v>31</v>
      </c>
      <c r="D1340" s="1" t="s">
        <v>17</v>
      </c>
      <c r="E1340" s="1" t="s">
        <v>26</v>
      </c>
      <c r="F1340" s="1">
        <v>117</v>
      </c>
      <c r="G1340" s="1">
        <v>31.54</v>
      </c>
      <c r="H1340" s="1">
        <v>3690.18</v>
      </c>
      <c r="I1340" s="1">
        <v>2610.8000000000002</v>
      </c>
      <c r="J1340" s="1">
        <v>1079.3800000000001</v>
      </c>
      <c r="K1340" s="8" t="str">
        <f t="shared" si="20"/>
        <v>Mar</v>
      </c>
    </row>
    <row r="1341" spans="1:11">
      <c r="A1341" s="1" t="s">
        <v>1365</v>
      </c>
      <c r="B1341" s="2">
        <v>45820</v>
      </c>
      <c r="C1341" s="1" t="s">
        <v>28</v>
      </c>
      <c r="D1341" s="1" t="s">
        <v>13</v>
      </c>
      <c r="E1341" s="1" t="s">
        <v>14</v>
      </c>
      <c r="F1341" s="1">
        <v>247</v>
      </c>
      <c r="G1341" s="1">
        <v>12.07</v>
      </c>
      <c r="H1341" s="1">
        <v>2981.29</v>
      </c>
      <c r="I1341" s="1">
        <v>2020.48</v>
      </c>
      <c r="J1341" s="1">
        <v>960.81</v>
      </c>
      <c r="K1341" s="8" t="str">
        <f t="shared" si="20"/>
        <v>Jun</v>
      </c>
    </row>
    <row r="1342" spans="1:11">
      <c r="A1342" s="1" t="s">
        <v>1366</v>
      </c>
      <c r="B1342" s="2">
        <v>45716</v>
      </c>
      <c r="C1342" s="1" t="s">
        <v>22</v>
      </c>
      <c r="D1342" s="1" t="s">
        <v>17</v>
      </c>
      <c r="E1342" s="1" t="s">
        <v>20</v>
      </c>
      <c r="F1342" s="1">
        <v>80</v>
      </c>
      <c r="G1342" s="1">
        <v>17.399999999999999</v>
      </c>
      <c r="H1342" s="1">
        <v>1392</v>
      </c>
      <c r="I1342" s="1">
        <v>1106.27</v>
      </c>
      <c r="J1342" s="1">
        <v>285.73</v>
      </c>
      <c r="K1342" s="8" t="str">
        <f t="shared" si="20"/>
        <v>Feb</v>
      </c>
    </row>
    <row r="1343" spans="1:11">
      <c r="A1343" s="1" t="s">
        <v>1367</v>
      </c>
      <c r="B1343" s="2">
        <v>45711</v>
      </c>
      <c r="C1343" s="1" t="s">
        <v>22</v>
      </c>
      <c r="D1343" s="1" t="s">
        <v>13</v>
      </c>
      <c r="E1343" s="1" t="s">
        <v>20</v>
      </c>
      <c r="F1343" s="1">
        <v>170</v>
      </c>
      <c r="G1343" s="1">
        <v>23.69</v>
      </c>
      <c r="H1343" s="1">
        <v>4027.3</v>
      </c>
      <c r="I1343" s="1">
        <v>2833.28</v>
      </c>
      <c r="J1343" s="1">
        <v>1194.02</v>
      </c>
      <c r="K1343" s="8" t="str">
        <f t="shared" si="20"/>
        <v>Feb</v>
      </c>
    </row>
    <row r="1344" spans="1:11">
      <c r="A1344" s="1" t="s">
        <v>1368</v>
      </c>
      <c r="B1344" s="2">
        <v>45801</v>
      </c>
      <c r="C1344" s="1" t="s">
        <v>16</v>
      </c>
      <c r="D1344" s="1" t="s">
        <v>13</v>
      </c>
      <c r="E1344" s="1" t="s">
        <v>26</v>
      </c>
      <c r="F1344" s="1">
        <v>216</v>
      </c>
      <c r="G1344" s="1">
        <v>10.35</v>
      </c>
      <c r="H1344" s="1">
        <v>2235.6</v>
      </c>
      <c r="I1344" s="1">
        <v>1614.56</v>
      </c>
      <c r="J1344" s="1">
        <v>621.04</v>
      </c>
      <c r="K1344" s="8" t="str">
        <f t="shared" si="20"/>
        <v>May</v>
      </c>
    </row>
    <row r="1345" spans="1:11">
      <c r="A1345" s="1" t="s">
        <v>1369</v>
      </c>
      <c r="B1345" s="2">
        <v>45874</v>
      </c>
      <c r="C1345" s="1" t="s">
        <v>22</v>
      </c>
      <c r="D1345" s="1" t="s">
        <v>13</v>
      </c>
      <c r="E1345" s="1" t="s">
        <v>26</v>
      </c>
      <c r="F1345" s="1">
        <v>92</v>
      </c>
      <c r="G1345" s="1">
        <v>16.7</v>
      </c>
      <c r="H1345" s="1">
        <v>1536.4</v>
      </c>
      <c r="I1345" s="1">
        <v>1191.47</v>
      </c>
      <c r="J1345" s="1">
        <v>344.93</v>
      </c>
      <c r="K1345" s="8" t="str">
        <f t="shared" si="20"/>
        <v>Aug</v>
      </c>
    </row>
    <row r="1346" spans="1:11">
      <c r="A1346" s="1" t="s">
        <v>1370</v>
      </c>
      <c r="B1346" s="2">
        <v>45823</v>
      </c>
      <c r="C1346" s="1" t="s">
        <v>12</v>
      </c>
      <c r="D1346" s="1" t="s">
        <v>17</v>
      </c>
      <c r="E1346" s="1" t="s">
        <v>26</v>
      </c>
      <c r="F1346" s="1">
        <v>54</v>
      </c>
      <c r="G1346" s="1">
        <v>29.58</v>
      </c>
      <c r="H1346" s="1">
        <v>1597.32</v>
      </c>
      <c r="I1346" s="1">
        <v>1205.1500000000001</v>
      </c>
      <c r="J1346" s="1">
        <v>392.17</v>
      </c>
      <c r="K1346" s="8" t="str">
        <f t="shared" ref="K1346:K1409" si="21">TEXT(B1346,"mmm")</f>
        <v>Jun</v>
      </c>
    </row>
    <row r="1347" spans="1:11">
      <c r="A1347" s="1" t="s">
        <v>1371</v>
      </c>
      <c r="B1347" s="2">
        <v>46015</v>
      </c>
      <c r="C1347" s="1" t="s">
        <v>12</v>
      </c>
      <c r="D1347" s="1" t="s">
        <v>13</v>
      </c>
      <c r="E1347" s="1" t="s">
        <v>18</v>
      </c>
      <c r="F1347" s="1">
        <v>27</v>
      </c>
      <c r="G1347" s="1">
        <v>34.6</v>
      </c>
      <c r="H1347" s="1">
        <v>934.2</v>
      </c>
      <c r="I1347" s="1">
        <v>583.88</v>
      </c>
      <c r="J1347" s="1">
        <v>350.32</v>
      </c>
      <c r="K1347" s="8" t="str">
        <f t="shared" si="21"/>
        <v>Dec</v>
      </c>
    </row>
    <row r="1348" spans="1:11">
      <c r="A1348" s="1" t="s">
        <v>1372</v>
      </c>
      <c r="B1348" s="2">
        <v>45954</v>
      </c>
      <c r="C1348" s="1" t="s">
        <v>31</v>
      </c>
      <c r="D1348" s="1" t="s">
        <v>29</v>
      </c>
      <c r="E1348" s="1" t="s">
        <v>26</v>
      </c>
      <c r="F1348" s="1">
        <v>238</v>
      </c>
      <c r="G1348" s="1">
        <v>35.090000000000003</v>
      </c>
      <c r="H1348" s="1">
        <v>8351.42</v>
      </c>
      <c r="I1348" s="1">
        <v>5167.43</v>
      </c>
      <c r="J1348" s="1">
        <v>3183.99</v>
      </c>
      <c r="K1348" s="8" t="str">
        <f t="shared" si="21"/>
        <v>Oct</v>
      </c>
    </row>
    <row r="1349" spans="1:11">
      <c r="A1349" s="1" t="s">
        <v>1373</v>
      </c>
      <c r="B1349" s="2">
        <v>45719</v>
      </c>
      <c r="C1349" s="1" t="s">
        <v>31</v>
      </c>
      <c r="D1349" s="1" t="s">
        <v>29</v>
      </c>
      <c r="E1349" s="1" t="s">
        <v>33</v>
      </c>
      <c r="F1349" s="1">
        <v>214</v>
      </c>
      <c r="G1349" s="1">
        <v>13.18</v>
      </c>
      <c r="H1349" s="1">
        <v>2820.52</v>
      </c>
      <c r="I1349" s="1">
        <v>1721.86</v>
      </c>
      <c r="J1349" s="1">
        <v>1098.6600000000001</v>
      </c>
      <c r="K1349" s="8" t="str">
        <f t="shared" si="21"/>
        <v>Mar</v>
      </c>
    </row>
    <row r="1350" spans="1:11">
      <c r="A1350" s="1" t="s">
        <v>1374</v>
      </c>
      <c r="B1350" s="2">
        <v>45942</v>
      </c>
      <c r="C1350" s="1" t="s">
        <v>16</v>
      </c>
      <c r="D1350" s="1" t="s">
        <v>29</v>
      </c>
      <c r="E1350" s="1" t="s">
        <v>18</v>
      </c>
      <c r="F1350" s="1">
        <v>34</v>
      </c>
      <c r="G1350" s="1">
        <v>39.06</v>
      </c>
      <c r="H1350" s="1">
        <v>1328.04</v>
      </c>
      <c r="I1350" s="1">
        <v>1026.43</v>
      </c>
      <c r="J1350" s="1">
        <v>301.61</v>
      </c>
      <c r="K1350" s="8" t="str">
        <f t="shared" si="21"/>
        <v>Oct</v>
      </c>
    </row>
    <row r="1351" spans="1:11">
      <c r="A1351" s="1" t="s">
        <v>1375</v>
      </c>
      <c r="B1351" s="2">
        <v>45782</v>
      </c>
      <c r="C1351" s="1" t="s">
        <v>22</v>
      </c>
      <c r="D1351" s="1" t="s">
        <v>13</v>
      </c>
      <c r="E1351" s="1" t="s">
        <v>23</v>
      </c>
      <c r="F1351" s="1">
        <v>260</v>
      </c>
      <c r="G1351" s="1">
        <v>13.55</v>
      </c>
      <c r="H1351" s="1">
        <v>3523</v>
      </c>
      <c r="I1351" s="1">
        <v>2265.92</v>
      </c>
      <c r="J1351" s="1">
        <v>1257.08</v>
      </c>
      <c r="K1351" s="8" t="str">
        <f t="shared" si="21"/>
        <v>May</v>
      </c>
    </row>
    <row r="1352" spans="1:11">
      <c r="A1352" s="1" t="s">
        <v>1376</v>
      </c>
      <c r="B1352" s="2">
        <v>45726</v>
      </c>
      <c r="C1352" s="1" t="s">
        <v>22</v>
      </c>
      <c r="D1352" s="1" t="s">
        <v>17</v>
      </c>
      <c r="E1352" s="1" t="s">
        <v>23</v>
      </c>
      <c r="F1352" s="1">
        <v>15</v>
      </c>
      <c r="G1352" s="1">
        <v>38.74</v>
      </c>
      <c r="H1352" s="1">
        <v>581.1</v>
      </c>
      <c r="I1352" s="1">
        <v>357.64</v>
      </c>
      <c r="J1352" s="1">
        <v>223.46</v>
      </c>
      <c r="K1352" s="8" t="str">
        <f t="shared" si="21"/>
        <v>Mar</v>
      </c>
    </row>
    <row r="1353" spans="1:11">
      <c r="A1353" s="1" t="s">
        <v>1377</v>
      </c>
      <c r="B1353" s="2">
        <v>45793</v>
      </c>
      <c r="C1353" s="1" t="s">
        <v>31</v>
      </c>
      <c r="D1353" s="1" t="s">
        <v>13</v>
      </c>
      <c r="E1353" s="1" t="s">
        <v>23</v>
      </c>
      <c r="F1353" s="1">
        <v>117</v>
      </c>
      <c r="G1353" s="1">
        <v>36</v>
      </c>
      <c r="H1353" s="1">
        <v>4212</v>
      </c>
      <c r="I1353" s="1">
        <v>2621.0100000000002</v>
      </c>
      <c r="J1353" s="1">
        <v>1590.99</v>
      </c>
      <c r="K1353" s="8" t="str">
        <f t="shared" si="21"/>
        <v>May</v>
      </c>
    </row>
    <row r="1354" spans="1:11">
      <c r="A1354" s="1" t="s">
        <v>1378</v>
      </c>
      <c r="B1354" s="2">
        <v>45969</v>
      </c>
      <c r="C1354" s="1" t="s">
        <v>28</v>
      </c>
      <c r="D1354" s="1" t="s">
        <v>29</v>
      </c>
      <c r="E1354" s="1" t="s">
        <v>23</v>
      </c>
      <c r="F1354" s="1">
        <v>13</v>
      </c>
      <c r="G1354" s="1">
        <v>15.44</v>
      </c>
      <c r="H1354" s="1">
        <v>200.72</v>
      </c>
      <c r="I1354" s="1">
        <v>128.28</v>
      </c>
      <c r="J1354" s="1">
        <v>72.44</v>
      </c>
      <c r="K1354" s="8" t="str">
        <f t="shared" si="21"/>
        <v>Nov</v>
      </c>
    </row>
    <row r="1355" spans="1:11">
      <c r="A1355" s="1" t="s">
        <v>1379</v>
      </c>
      <c r="B1355" s="2">
        <v>45676</v>
      </c>
      <c r="C1355" s="1" t="s">
        <v>16</v>
      </c>
      <c r="D1355" s="1" t="s">
        <v>13</v>
      </c>
      <c r="E1355" s="1" t="s">
        <v>33</v>
      </c>
      <c r="F1355" s="1">
        <v>68</v>
      </c>
      <c r="G1355" s="1">
        <v>13.03</v>
      </c>
      <c r="H1355" s="1">
        <v>886.04</v>
      </c>
      <c r="I1355" s="1">
        <v>563.25</v>
      </c>
      <c r="J1355" s="1">
        <v>322.79000000000002</v>
      </c>
      <c r="K1355" s="8" t="str">
        <f t="shared" si="21"/>
        <v>Jan</v>
      </c>
    </row>
    <row r="1356" spans="1:11">
      <c r="A1356" s="1" t="s">
        <v>1380</v>
      </c>
      <c r="B1356" s="2">
        <v>45712</v>
      </c>
      <c r="C1356" s="1" t="s">
        <v>12</v>
      </c>
      <c r="D1356" s="1" t="s">
        <v>17</v>
      </c>
      <c r="E1356" s="1" t="s">
        <v>14</v>
      </c>
      <c r="F1356" s="1">
        <v>157</v>
      </c>
      <c r="G1356" s="1">
        <v>17.53</v>
      </c>
      <c r="H1356" s="1">
        <v>2752.21</v>
      </c>
      <c r="I1356" s="1">
        <v>2089.67</v>
      </c>
      <c r="J1356" s="1">
        <v>662.54</v>
      </c>
      <c r="K1356" s="8" t="str">
        <f t="shared" si="21"/>
        <v>Feb</v>
      </c>
    </row>
    <row r="1357" spans="1:11">
      <c r="A1357" s="1" t="s">
        <v>1381</v>
      </c>
      <c r="B1357" s="2">
        <v>45901</v>
      </c>
      <c r="C1357" s="1" t="s">
        <v>12</v>
      </c>
      <c r="D1357" s="1" t="s">
        <v>17</v>
      </c>
      <c r="E1357" s="1" t="s">
        <v>26</v>
      </c>
      <c r="F1357" s="1">
        <v>26</v>
      </c>
      <c r="G1357" s="1">
        <v>27.43</v>
      </c>
      <c r="H1357" s="1">
        <v>713.18</v>
      </c>
      <c r="I1357" s="1">
        <v>461.94</v>
      </c>
      <c r="J1357" s="1">
        <v>251.24</v>
      </c>
      <c r="K1357" s="8" t="str">
        <f t="shared" si="21"/>
        <v>Sep</v>
      </c>
    </row>
    <row r="1358" spans="1:11">
      <c r="A1358" s="1" t="s">
        <v>1382</v>
      </c>
      <c r="B1358" s="2">
        <v>45846</v>
      </c>
      <c r="C1358" s="1" t="s">
        <v>12</v>
      </c>
      <c r="D1358" s="1" t="s">
        <v>29</v>
      </c>
      <c r="E1358" s="1" t="s">
        <v>18</v>
      </c>
      <c r="F1358" s="1">
        <v>232</v>
      </c>
      <c r="G1358" s="1">
        <v>23.91</v>
      </c>
      <c r="H1358" s="1">
        <v>5547.12</v>
      </c>
      <c r="I1358" s="1">
        <v>3750.87</v>
      </c>
      <c r="J1358" s="1">
        <v>1796.25</v>
      </c>
      <c r="K1358" s="8" t="str">
        <f t="shared" si="21"/>
        <v>Jul</v>
      </c>
    </row>
    <row r="1359" spans="1:11">
      <c r="A1359" s="1" t="s">
        <v>1383</v>
      </c>
      <c r="B1359" s="2">
        <v>45750</v>
      </c>
      <c r="C1359" s="1" t="s">
        <v>28</v>
      </c>
      <c r="D1359" s="1" t="s">
        <v>13</v>
      </c>
      <c r="E1359" s="1" t="s">
        <v>33</v>
      </c>
      <c r="F1359" s="1">
        <v>36</v>
      </c>
      <c r="G1359" s="1">
        <v>27.46</v>
      </c>
      <c r="H1359" s="1">
        <v>988.56</v>
      </c>
      <c r="I1359" s="1">
        <v>656.66</v>
      </c>
      <c r="J1359" s="1">
        <v>331.9</v>
      </c>
      <c r="K1359" s="8" t="str">
        <f t="shared" si="21"/>
        <v>Apr</v>
      </c>
    </row>
    <row r="1360" spans="1:11">
      <c r="A1360" s="1" t="s">
        <v>1384</v>
      </c>
      <c r="B1360" s="2">
        <v>45734</v>
      </c>
      <c r="C1360" s="1" t="s">
        <v>12</v>
      </c>
      <c r="D1360" s="1" t="s">
        <v>29</v>
      </c>
      <c r="E1360" s="1" t="s">
        <v>18</v>
      </c>
      <c r="F1360" s="1">
        <v>20</v>
      </c>
      <c r="G1360" s="1">
        <v>36.08</v>
      </c>
      <c r="H1360" s="1">
        <v>721.6</v>
      </c>
      <c r="I1360" s="1">
        <v>470.64</v>
      </c>
      <c r="J1360" s="1">
        <v>250.96</v>
      </c>
      <c r="K1360" s="8" t="str">
        <f t="shared" si="21"/>
        <v>Mar</v>
      </c>
    </row>
    <row r="1361" spans="1:11">
      <c r="A1361" s="1" t="s">
        <v>1385</v>
      </c>
      <c r="B1361" s="2">
        <v>45897</v>
      </c>
      <c r="C1361" s="1" t="s">
        <v>12</v>
      </c>
      <c r="D1361" s="1" t="s">
        <v>13</v>
      </c>
      <c r="E1361" s="1" t="s">
        <v>23</v>
      </c>
      <c r="F1361" s="1">
        <v>57</v>
      </c>
      <c r="G1361" s="1">
        <v>18.66</v>
      </c>
      <c r="H1361" s="1">
        <v>1063.6199999999999</v>
      </c>
      <c r="I1361" s="1">
        <v>692.63</v>
      </c>
      <c r="J1361" s="1">
        <v>370.99</v>
      </c>
      <c r="K1361" s="8" t="str">
        <f t="shared" si="21"/>
        <v>Aug</v>
      </c>
    </row>
    <row r="1362" spans="1:11">
      <c r="A1362" s="1" t="s">
        <v>1386</v>
      </c>
      <c r="B1362" s="2">
        <v>45772</v>
      </c>
      <c r="C1362" s="1" t="s">
        <v>31</v>
      </c>
      <c r="D1362" s="1" t="s">
        <v>17</v>
      </c>
      <c r="E1362" s="1" t="s">
        <v>14</v>
      </c>
      <c r="F1362" s="1">
        <v>207</v>
      </c>
      <c r="G1362" s="1">
        <v>32.950000000000003</v>
      </c>
      <c r="H1362" s="1">
        <v>6820.65</v>
      </c>
      <c r="I1362" s="1">
        <v>4773.8500000000004</v>
      </c>
      <c r="J1362" s="1">
        <v>2046.8</v>
      </c>
      <c r="K1362" s="8" t="str">
        <f t="shared" si="21"/>
        <v>Apr</v>
      </c>
    </row>
    <row r="1363" spans="1:11">
      <c r="A1363" s="1" t="s">
        <v>1387</v>
      </c>
      <c r="B1363" s="2">
        <v>45727</v>
      </c>
      <c r="C1363" s="1" t="s">
        <v>22</v>
      </c>
      <c r="D1363" s="1" t="s">
        <v>17</v>
      </c>
      <c r="E1363" s="1" t="s">
        <v>26</v>
      </c>
      <c r="F1363" s="1">
        <v>164</v>
      </c>
      <c r="G1363" s="1">
        <v>37.06</v>
      </c>
      <c r="H1363" s="1">
        <v>6077.84</v>
      </c>
      <c r="I1363" s="1">
        <v>4787.1000000000004</v>
      </c>
      <c r="J1363" s="1">
        <v>1290.74</v>
      </c>
      <c r="K1363" s="8" t="str">
        <f t="shared" si="21"/>
        <v>Mar</v>
      </c>
    </row>
    <row r="1364" spans="1:11">
      <c r="A1364" s="1" t="s">
        <v>1388</v>
      </c>
      <c r="B1364" s="2">
        <v>45958</v>
      </c>
      <c r="C1364" s="1" t="s">
        <v>31</v>
      </c>
      <c r="D1364" s="1" t="s">
        <v>17</v>
      </c>
      <c r="E1364" s="1" t="s">
        <v>23</v>
      </c>
      <c r="F1364" s="1">
        <v>22</v>
      </c>
      <c r="G1364" s="1">
        <v>10.78</v>
      </c>
      <c r="H1364" s="1">
        <v>237.16</v>
      </c>
      <c r="I1364" s="1">
        <v>184.2</v>
      </c>
      <c r="J1364" s="1">
        <v>52.96</v>
      </c>
      <c r="K1364" s="8" t="str">
        <f t="shared" si="21"/>
        <v>Oct</v>
      </c>
    </row>
    <row r="1365" spans="1:11">
      <c r="A1365" s="1" t="s">
        <v>1389</v>
      </c>
      <c r="B1365" s="2">
        <v>45884</v>
      </c>
      <c r="C1365" s="1" t="s">
        <v>31</v>
      </c>
      <c r="D1365" s="1" t="s">
        <v>13</v>
      </c>
      <c r="E1365" s="1" t="s">
        <v>26</v>
      </c>
      <c r="F1365" s="1">
        <v>144</v>
      </c>
      <c r="G1365" s="1">
        <v>30.49</v>
      </c>
      <c r="H1365" s="1">
        <v>4390.5600000000004</v>
      </c>
      <c r="I1365" s="1">
        <v>2775.01</v>
      </c>
      <c r="J1365" s="1">
        <v>1615.55</v>
      </c>
      <c r="K1365" s="8" t="str">
        <f t="shared" si="21"/>
        <v>Aug</v>
      </c>
    </row>
    <row r="1366" spans="1:11">
      <c r="A1366" s="1" t="s">
        <v>1390</v>
      </c>
      <c r="B1366" s="2">
        <v>46006</v>
      </c>
      <c r="C1366" s="1" t="s">
        <v>22</v>
      </c>
      <c r="D1366" s="1" t="s">
        <v>29</v>
      </c>
      <c r="E1366" s="1" t="s">
        <v>14</v>
      </c>
      <c r="F1366" s="1">
        <v>245</v>
      </c>
      <c r="G1366" s="1">
        <v>27.56</v>
      </c>
      <c r="H1366" s="1">
        <v>6752.2</v>
      </c>
      <c r="I1366" s="1">
        <v>4190.7299999999996</v>
      </c>
      <c r="J1366" s="1">
        <v>2561.4699999999998</v>
      </c>
      <c r="K1366" s="8" t="str">
        <f t="shared" si="21"/>
        <v>Dec</v>
      </c>
    </row>
    <row r="1367" spans="1:11">
      <c r="A1367" s="1" t="s">
        <v>1391</v>
      </c>
      <c r="B1367" s="2">
        <v>45674</v>
      </c>
      <c r="C1367" s="1" t="s">
        <v>28</v>
      </c>
      <c r="D1367" s="1" t="s">
        <v>29</v>
      </c>
      <c r="E1367" s="1" t="s">
        <v>33</v>
      </c>
      <c r="F1367" s="1">
        <v>164</v>
      </c>
      <c r="G1367" s="1">
        <v>29.2</v>
      </c>
      <c r="H1367" s="1">
        <v>4788.8</v>
      </c>
      <c r="I1367" s="1">
        <v>3421.85</v>
      </c>
      <c r="J1367" s="1">
        <v>1366.95</v>
      </c>
      <c r="K1367" s="8" t="str">
        <f t="shared" si="21"/>
        <v>Jan</v>
      </c>
    </row>
    <row r="1368" spans="1:11">
      <c r="A1368" s="1" t="s">
        <v>1392</v>
      </c>
      <c r="B1368" s="2">
        <v>45873</v>
      </c>
      <c r="C1368" s="1" t="s">
        <v>16</v>
      </c>
      <c r="D1368" s="1" t="s">
        <v>17</v>
      </c>
      <c r="E1368" s="1" t="s">
        <v>26</v>
      </c>
      <c r="F1368" s="1">
        <v>250</v>
      </c>
      <c r="G1368" s="1">
        <v>10.53</v>
      </c>
      <c r="H1368" s="1">
        <v>2632.5</v>
      </c>
      <c r="I1368" s="1">
        <v>1764.73</v>
      </c>
      <c r="J1368" s="1">
        <v>867.77</v>
      </c>
      <c r="K1368" s="8" t="str">
        <f t="shared" si="21"/>
        <v>Aug</v>
      </c>
    </row>
    <row r="1369" spans="1:11">
      <c r="A1369" s="1" t="s">
        <v>1393</v>
      </c>
      <c r="B1369" s="2">
        <v>45907</v>
      </c>
      <c r="C1369" s="1" t="s">
        <v>22</v>
      </c>
      <c r="D1369" s="1" t="s">
        <v>13</v>
      </c>
      <c r="E1369" s="1" t="s">
        <v>23</v>
      </c>
      <c r="F1369" s="1">
        <v>211</v>
      </c>
      <c r="G1369" s="1">
        <v>10.06</v>
      </c>
      <c r="H1369" s="1">
        <v>2122.66</v>
      </c>
      <c r="I1369" s="1">
        <v>1423.75</v>
      </c>
      <c r="J1369" s="1">
        <v>698.91</v>
      </c>
      <c r="K1369" s="8" t="str">
        <f t="shared" si="21"/>
        <v>Sep</v>
      </c>
    </row>
    <row r="1370" spans="1:11">
      <c r="A1370" s="1" t="s">
        <v>1394</v>
      </c>
      <c r="B1370" s="2">
        <v>45667</v>
      </c>
      <c r="C1370" s="1" t="s">
        <v>22</v>
      </c>
      <c r="D1370" s="1" t="s">
        <v>13</v>
      </c>
      <c r="E1370" s="1" t="s">
        <v>26</v>
      </c>
      <c r="F1370" s="1">
        <v>270</v>
      </c>
      <c r="G1370" s="1">
        <v>26.42</v>
      </c>
      <c r="H1370" s="1">
        <v>7133.4</v>
      </c>
      <c r="I1370" s="1">
        <v>4790.21</v>
      </c>
      <c r="J1370" s="1">
        <v>2343.19</v>
      </c>
      <c r="K1370" s="8" t="str">
        <f t="shared" si="21"/>
        <v>Jan</v>
      </c>
    </row>
    <row r="1371" spans="1:11">
      <c r="A1371" s="1" t="s">
        <v>1395</v>
      </c>
      <c r="B1371" s="2">
        <v>45858</v>
      </c>
      <c r="C1371" s="1" t="s">
        <v>16</v>
      </c>
      <c r="D1371" s="1" t="s">
        <v>29</v>
      </c>
      <c r="E1371" s="1" t="s">
        <v>23</v>
      </c>
      <c r="F1371" s="1">
        <v>25</v>
      </c>
      <c r="G1371" s="1">
        <v>21.2</v>
      </c>
      <c r="H1371" s="1">
        <v>530</v>
      </c>
      <c r="I1371" s="1">
        <v>358.38</v>
      </c>
      <c r="J1371" s="1">
        <v>171.62</v>
      </c>
      <c r="K1371" s="8" t="str">
        <f t="shared" si="21"/>
        <v>Jul</v>
      </c>
    </row>
    <row r="1372" spans="1:11">
      <c r="A1372" s="1" t="s">
        <v>1396</v>
      </c>
      <c r="B1372" s="2">
        <v>45914</v>
      </c>
      <c r="C1372" s="1" t="s">
        <v>16</v>
      </c>
      <c r="D1372" s="1" t="s">
        <v>29</v>
      </c>
      <c r="E1372" s="1" t="s">
        <v>20</v>
      </c>
      <c r="F1372" s="1">
        <v>32</v>
      </c>
      <c r="G1372" s="1">
        <v>11.07</v>
      </c>
      <c r="H1372" s="1">
        <v>354.24</v>
      </c>
      <c r="I1372" s="1">
        <v>244.55</v>
      </c>
      <c r="J1372" s="1">
        <v>109.69</v>
      </c>
      <c r="K1372" s="8" t="str">
        <f t="shared" si="21"/>
        <v>Sep</v>
      </c>
    </row>
    <row r="1373" spans="1:11">
      <c r="A1373" s="1" t="s">
        <v>1397</v>
      </c>
      <c r="B1373" s="2">
        <v>45680</v>
      </c>
      <c r="C1373" s="1" t="s">
        <v>12</v>
      </c>
      <c r="D1373" s="1" t="s">
        <v>13</v>
      </c>
      <c r="E1373" s="1" t="s">
        <v>20</v>
      </c>
      <c r="F1373" s="1">
        <v>186</v>
      </c>
      <c r="G1373" s="1">
        <v>13.73</v>
      </c>
      <c r="H1373" s="1">
        <v>2553.7800000000002</v>
      </c>
      <c r="I1373" s="1">
        <v>1994.36</v>
      </c>
      <c r="J1373" s="1">
        <v>559.41999999999996</v>
      </c>
      <c r="K1373" s="8" t="str">
        <f t="shared" si="21"/>
        <v>Jan</v>
      </c>
    </row>
    <row r="1374" spans="1:11">
      <c r="A1374" s="1" t="s">
        <v>1398</v>
      </c>
      <c r="B1374" s="2">
        <v>46019</v>
      </c>
      <c r="C1374" s="1" t="s">
        <v>28</v>
      </c>
      <c r="D1374" s="1" t="s">
        <v>17</v>
      </c>
      <c r="E1374" s="1" t="s">
        <v>33</v>
      </c>
      <c r="F1374" s="1">
        <v>54</v>
      </c>
      <c r="G1374" s="1">
        <v>18.059999999999999</v>
      </c>
      <c r="H1374" s="1">
        <v>975.24</v>
      </c>
      <c r="I1374" s="1">
        <v>772.46</v>
      </c>
      <c r="J1374" s="1">
        <v>202.78</v>
      </c>
      <c r="K1374" s="8" t="str">
        <f t="shared" si="21"/>
        <v>Dec</v>
      </c>
    </row>
    <row r="1375" spans="1:11">
      <c r="A1375" s="1" t="s">
        <v>1399</v>
      </c>
      <c r="B1375" s="2">
        <v>45731</v>
      </c>
      <c r="C1375" s="1" t="s">
        <v>16</v>
      </c>
      <c r="D1375" s="1" t="s">
        <v>13</v>
      </c>
      <c r="E1375" s="1" t="s">
        <v>26</v>
      </c>
      <c r="F1375" s="1">
        <v>103</v>
      </c>
      <c r="G1375" s="1">
        <v>35.97</v>
      </c>
      <c r="H1375" s="1">
        <v>3704.91</v>
      </c>
      <c r="I1375" s="1">
        <v>2745.03</v>
      </c>
      <c r="J1375" s="1">
        <v>959.88</v>
      </c>
      <c r="K1375" s="8" t="str">
        <f t="shared" si="21"/>
        <v>Mar</v>
      </c>
    </row>
    <row r="1376" spans="1:11">
      <c r="A1376" s="1" t="s">
        <v>1400</v>
      </c>
      <c r="B1376" s="2">
        <v>45943</v>
      </c>
      <c r="C1376" s="1" t="s">
        <v>12</v>
      </c>
      <c r="D1376" s="1" t="s">
        <v>17</v>
      </c>
      <c r="E1376" s="1" t="s">
        <v>20</v>
      </c>
      <c r="F1376" s="1">
        <v>235</v>
      </c>
      <c r="G1376" s="1">
        <v>36.28</v>
      </c>
      <c r="H1376" s="1">
        <v>8525.7999999999993</v>
      </c>
      <c r="I1376" s="1">
        <v>5294.82</v>
      </c>
      <c r="J1376" s="1">
        <v>3230.98</v>
      </c>
      <c r="K1376" s="8" t="str">
        <f t="shared" si="21"/>
        <v>Oct</v>
      </c>
    </row>
    <row r="1377" spans="1:11">
      <c r="A1377" s="1" t="s">
        <v>1401</v>
      </c>
      <c r="B1377" s="2">
        <v>45827</v>
      </c>
      <c r="C1377" s="1" t="s">
        <v>36</v>
      </c>
      <c r="D1377" s="1" t="s">
        <v>29</v>
      </c>
      <c r="E1377" s="1" t="s">
        <v>20</v>
      </c>
      <c r="F1377" s="1">
        <v>86</v>
      </c>
      <c r="G1377" s="1">
        <v>36.97</v>
      </c>
      <c r="H1377" s="1">
        <v>3179.42</v>
      </c>
      <c r="I1377" s="1">
        <v>2359.64</v>
      </c>
      <c r="J1377" s="1">
        <v>819.78</v>
      </c>
      <c r="K1377" s="8" t="str">
        <f t="shared" si="21"/>
        <v>Jun</v>
      </c>
    </row>
    <row r="1378" spans="1:11">
      <c r="A1378" s="1" t="s">
        <v>1402</v>
      </c>
      <c r="B1378" s="2">
        <v>45730</v>
      </c>
      <c r="C1378" s="1" t="s">
        <v>12</v>
      </c>
      <c r="D1378" s="1" t="s">
        <v>17</v>
      </c>
      <c r="E1378" s="1" t="s">
        <v>14</v>
      </c>
      <c r="F1378" s="1">
        <v>63</v>
      </c>
      <c r="G1378" s="1">
        <v>12.27</v>
      </c>
      <c r="H1378" s="1">
        <v>773.01</v>
      </c>
      <c r="I1378" s="1">
        <v>598.14</v>
      </c>
      <c r="J1378" s="1">
        <v>174.87</v>
      </c>
      <c r="K1378" s="8" t="str">
        <f t="shared" si="21"/>
        <v>Mar</v>
      </c>
    </row>
    <row r="1379" spans="1:11">
      <c r="A1379" s="1" t="s">
        <v>1403</v>
      </c>
      <c r="B1379" s="2">
        <v>45909</v>
      </c>
      <c r="C1379" s="1" t="s">
        <v>12</v>
      </c>
      <c r="D1379" s="1" t="s">
        <v>29</v>
      </c>
      <c r="E1379" s="1" t="s">
        <v>20</v>
      </c>
      <c r="F1379" s="1">
        <v>51</v>
      </c>
      <c r="G1379" s="1">
        <v>19.64</v>
      </c>
      <c r="H1379" s="1">
        <v>1001.64</v>
      </c>
      <c r="I1379" s="1">
        <v>782.55</v>
      </c>
      <c r="J1379" s="1">
        <v>219.09</v>
      </c>
      <c r="K1379" s="8" t="str">
        <f t="shared" si="21"/>
        <v>Sep</v>
      </c>
    </row>
    <row r="1380" spans="1:11">
      <c r="A1380" s="1" t="s">
        <v>1404</v>
      </c>
      <c r="B1380" s="2">
        <v>45910</v>
      </c>
      <c r="C1380" s="1" t="s">
        <v>36</v>
      </c>
      <c r="D1380" s="1" t="s">
        <v>13</v>
      </c>
      <c r="E1380" s="1" t="s">
        <v>18</v>
      </c>
      <c r="F1380" s="1">
        <v>286</v>
      </c>
      <c r="G1380" s="1">
        <v>19.79</v>
      </c>
      <c r="H1380" s="1">
        <v>5659.94</v>
      </c>
      <c r="I1380" s="1">
        <v>4145.6499999999996</v>
      </c>
      <c r="J1380" s="1">
        <v>1514.29</v>
      </c>
      <c r="K1380" s="8" t="str">
        <f t="shared" si="21"/>
        <v>Sep</v>
      </c>
    </row>
    <row r="1381" spans="1:11">
      <c r="A1381" s="1" t="s">
        <v>1405</v>
      </c>
      <c r="B1381" s="2">
        <v>45946</v>
      </c>
      <c r="C1381" s="1" t="s">
        <v>12</v>
      </c>
      <c r="D1381" s="1" t="s">
        <v>13</v>
      </c>
      <c r="E1381" s="1" t="s">
        <v>20</v>
      </c>
      <c r="F1381" s="1">
        <v>151</v>
      </c>
      <c r="G1381" s="1">
        <v>37.56</v>
      </c>
      <c r="H1381" s="1">
        <v>5671.56</v>
      </c>
      <c r="I1381" s="1">
        <v>3751.32</v>
      </c>
      <c r="J1381" s="1">
        <v>1920.24</v>
      </c>
      <c r="K1381" s="8" t="str">
        <f t="shared" si="21"/>
        <v>Oct</v>
      </c>
    </row>
    <row r="1382" spans="1:11">
      <c r="A1382" s="1" t="s">
        <v>1406</v>
      </c>
      <c r="B1382" s="2">
        <v>45738</v>
      </c>
      <c r="C1382" s="1" t="s">
        <v>16</v>
      </c>
      <c r="D1382" s="1" t="s">
        <v>17</v>
      </c>
      <c r="E1382" s="1" t="s">
        <v>18</v>
      </c>
      <c r="F1382" s="1">
        <v>161</v>
      </c>
      <c r="G1382" s="1">
        <v>24.52</v>
      </c>
      <c r="H1382" s="1">
        <v>3947.72</v>
      </c>
      <c r="I1382" s="1">
        <v>2888.15</v>
      </c>
      <c r="J1382" s="1">
        <v>1059.57</v>
      </c>
      <c r="K1382" s="8" t="str">
        <f t="shared" si="21"/>
        <v>Mar</v>
      </c>
    </row>
    <row r="1383" spans="1:11">
      <c r="A1383" s="1" t="s">
        <v>1407</v>
      </c>
      <c r="B1383" s="2">
        <v>45688</v>
      </c>
      <c r="C1383" s="1" t="s">
        <v>16</v>
      </c>
      <c r="D1383" s="1" t="s">
        <v>13</v>
      </c>
      <c r="E1383" s="1" t="s">
        <v>26</v>
      </c>
      <c r="F1383" s="1">
        <v>146</v>
      </c>
      <c r="G1383" s="1">
        <v>36.25</v>
      </c>
      <c r="H1383" s="1">
        <v>5292.5</v>
      </c>
      <c r="I1383" s="1">
        <v>3849.36</v>
      </c>
      <c r="J1383" s="1">
        <v>1443.14</v>
      </c>
      <c r="K1383" s="8" t="str">
        <f t="shared" si="21"/>
        <v>Jan</v>
      </c>
    </row>
    <row r="1384" spans="1:11">
      <c r="A1384" s="1" t="s">
        <v>1408</v>
      </c>
      <c r="B1384" s="2">
        <v>45906</v>
      </c>
      <c r="C1384" s="1" t="s">
        <v>16</v>
      </c>
      <c r="D1384" s="1" t="s">
        <v>29</v>
      </c>
      <c r="E1384" s="1" t="s">
        <v>23</v>
      </c>
      <c r="F1384" s="1">
        <v>86</v>
      </c>
      <c r="G1384" s="1">
        <v>36.090000000000003</v>
      </c>
      <c r="H1384" s="1">
        <v>3103.74</v>
      </c>
      <c r="I1384" s="1">
        <v>2344.67</v>
      </c>
      <c r="J1384" s="1">
        <v>759.07</v>
      </c>
      <c r="K1384" s="8" t="str">
        <f t="shared" si="21"/>
        <v>Sep</v>
      </c>
    </row>
    <row r="1385" spans="1:11">
      <c r="A1385" s="1" t="s">
        <v>1409</v>
      </c>
      <c r="B1385" s="2">
        <v>45877</v>
      </c>
      <c r="C1385" s="1" t="s">
        <v>12</v>
      </c>
      <c r="D1385" s="1" t="s">
        <v>13</v>
      </c>
      <c r="E1385" s="1" t="s">
        <v>26</v>
      </c>
      <c r="F1385" s="1">
        <v>256</v>
      </c>
      <c r="G1385" s="1">
        <v>34.03</v>
      </c>
      <c r="H1385" s="1">
        <v>8711.68</v>
      </c>
      <c r="I1385" s="1">
        <v>5589.41</v>
      </c>
      <c r="J1385" s="1">
        <v>3122.27</v>
      </c>
      <c r="K1385" s="8" t="str">
        <f t="shared" si="21"/>
        <v>Aug</v>
      </c>
    </row>
    <row r="1386" spans="1:11">
      <c r="A1386" s="1" t="s">
        <v>1410</v>
      </c>
      <c r="B1386" s="2">
        <v>46014</v>
      </c>
      <c r="C1386" s="1" t="s">
        <v>16</v>
      </c>
      <c r="D1386" s="1" t="s">
        <v>29</v>
      </c>
      <c r="E1386" s="1" t="s">
        <v>23</v>
      </c>
      <c r="F1386" s="1">
        <v>251</v>
      </c>
      <c r="G1386" s="1">
        <v>13.87</v>
      </c>
      <c r="H1386" s="1">
        <v>3481.37</v>
      </c>
      <c r="I1386" s="1">
        <v>2304.58</v>
      </c>
      <c r="J1386" s="1">
        <v>1176.79</v>
      </c>
      <c r="K1386" s="8" t="str">
        <f t="shared" si="21"/>
        <v>Dec</v>
      </c>
    </row>
    <row r="1387" spans="1:11">
      <c r="A1387" s="1" t="s">
        <v>1411</v>
      </c>
      <c r="B1387" s="2">
        <v>46021</v>
      </c>
      <c r="C1387" s="1" t="s">
        <v>12</v>
      </c>
      <c r="D1387" s="1" t="s">
        <v>29</v>
      </c>
      <c r="E1387" s="1" t="s">
        <v>26</v>
      </c>
      <c r="F1387" s="1">
        <v>248</v>
      </c>
      <c r="G1387" s="1">
        <v>24.77</v>
      </c>
      <c r="H1387" s="1">
        <v>6142.96</v>
      </c>
      <c r="I1387" s="1">
        <v>4157.59</v>
      </c>
      <c r="J1387" s="1">
        <v>1985.37</v>
      </c>
      <c r="K1387" s="8" t="str">
        <f t="shared" si="21"/>
        <v>Dec</v>
      </c>
    </row>
    <row r="1388" spans="1:11">
      <c r="A1388" s="1" t="s">
        <v>1412</v>
      </c>
      <c r="B1388" s="2">
        <v>46003</v>
      </c>
      <c r="C1388" s="1" t="s">
        <v>12</v>
      </c>
      <c r="D1388" s="1" t="s">
        <v>13</v>
      </c>
      <c r="E1388" s="1" t="s">
        <v>33</v>
      </c>
      <c r="F1388" s="1">
        <v>189</v>
      </c>
      <c r="G1388" s="1">
        <v>21.48</v>
      </c>
      <c r="H1388" s="1">
        <v>4059.72</v>
      </c>
      <c r="I1388" s="1">
        <v>2644.15</v>
      </c>
      <c r="J1388" s="1">
        <v>1415.57</v>
      </c>
      <c r="K1388" s="8" t="str">
        <f t="shared" si="21"/>
        <v>Dec</v>
      </c>
    </row>
    <row r="1389" spans="1:11">
      <c r="A1389" s="1" t="s">
        <v>1413</v>
      </c>
      <c r="B1389" s="2">
        <v>45847</v>
      </c>
      <c r="C1389" s="1" t="s">
        <v>28</v>
      </c>
      <c r="D1389" s="1" t="s">
        <v>13</v>
      </c>
      <c r="E1389" s="1" t="s">
        <v>33</v>
      </c>
      <c r="F1389" s="1">
        <v>91</v>
      </c>
      <c r="G1389" s="1">
        <v>24.67</v>
      </c>
      <c r="H1389" s="1">
        <v>2244.9699999999998</v>
      </c>
      <c r="I1389" s="1">
        <v>1455.72</v>
      </c>
      <c r="J1389" s="1">
        <v>789.25</v>
      </c>
      <c r="K1389" s="8" t="str">
        <f t="shared" si="21"/>
        <v>Jul</v>
      </c>
    </row>
    <row r="1390" spans="1:11">
      <c r="A1390" s="1" t="s">
        <v>1414</v>
      </c>
      <c r="B1390" s="2">
        <v>45739</v>
      </c>
      <c r="C1390" s="1" t="s">
        <v>22</v>
      </c>
      <c r="D1390" s="1" t="s">
        <v>17</v>
      </c>
      <c r="E1390" s="1" t="s">
        <v>26</v>
      </c>
      <c r="F1390" s="1">
        <v>146</v>
      </c>
      <c r="G1390" s="1">
        <v>18.850000000000001</v>
      </c>
      <c r="H1390" s="1">
        <v>2752.1</v>
      </c>
      <c r="I1390" s="1">
        <v>2098.5</v>
      </c>
      <c r="J1390" s="1">
        <v>653.6</v>
      </c>
      <c r="K1390" s="8" t="str">
        <f t="shared" si="21"/>
        <v>Mar</v>
      </c>
    </row>
    <row r="1391" spans="1:11">
      <c r="A1391" s="1" t="s">
        <v>1415</v>
      </c>
      <c r="B1391" s="2">
        <v>45868</v>
      </c>
      <c r="C1391" s="1" t="s">
        <v>12</v>
      </c>
      <c r="D1391" s="1" t="s">
        <v>29</v>
      </c>
      <c r="E1391" s="1" t="s">
        <v>14</v>
      </c>
      <c r="F1391" s="1">
        <v>199</v>
      </c>
      <c r="G1391" s="1">
        <v>20.85</v>
      </c>
      <c r="H1391" s="1">
        <v>4149.1499999999996</v>
      </c>
      <c r="I1391" s="1">
        <v>2553.4</v>
      </c>
      <c r="J1391" s="1">
        <v>1595.75</v>
      </c>
      <c r="K1391" s="8" t="str">
        <f t="shared" si="21"/>
        <v>Jul</v>
      </c>
    </row>
    <row r="1392" spans="1:11">
      <c r="A1392" s="1" t="s">
        <v>1416</v>
      </c>
      <c r="B1392" s="2">
        <v>45908</v>
      </c>
      <c r="C1392" s="1" t="s">
        <v>16</v>
      </c>
      <c r="D1392" s="1" t="s">
        <v>13</v>
      </c>
      <c r="E1392" s="1" t="s">
        <v>14</v>
      </c>
      <c r="F1392" s="1">
        <v>232</v>
      </c>
      <c r="G1392" s="1">
        <v>26.36</v>
      </c>
      <c r="H1392" s="1">
        <v>6115.52</v>
      </c>
      <c r="I1392" s="1">
        <v>4745.37</v>
      </c>
      <c r="J1392" s="1">
        <v>1370.15</v>
      </c>
      <c r="K1392" s="8" t="str">
        <f t="shared" si="21"/>
        <v>Sep</v>
      </c>
    </row>
    <row r="1393" spans="1:11">
      <c r="A1393" s="1" t="s">
        <v>1417</v>
      </c>
      <c r="B1393" s="2">
        <v>45695</v>
      </c>
      <c r="C1393" s="1" t="s">
        <v>31</v>
      </c>
      <c r="D1393" s="1" t="s">
        <v>13</v>
      </c>
      <c r="E1393" s="1" t="s">
        <v>33</v>
      </c>
      <c r="F1393" s="1">
        <v>84</v>
      </c>
      <c r="G1393" s="1">
        <v>26.04</v>
      </c>
      <c r="H1393" s="1">
        <v>2187.36</v>
      </c>
      <c r="I1393" s="1">
        <v>1529.99</v>
      </c>
      <c r="J1393" s="1">
        <v>657.37</v>
      </c>
      <c r="K1393" s="8" t="str">
        <f t="shared" si="21"/>
        <v>Feb</v>
      </c>
    </row>
    <row r="1394" spans="1:11">
      <c r="A1394" s="1" t="s">
        <v>1418</v>
      </c>
      <c r="B1394" s="2">
        <v>45689</v>
      </c>
      <c r="C1394" s="1" t="s">
        <v>36</v>
      </c>
      <c r="D1394" s="1" t="s">
        <v>17</v>
      </c>
      <c r="E1394" s="1" t="s">
        <v>14</v>
      </c>
      <c r="F1394" s="1">
        <v>184</v>
      </c>
      <c r="G1394" s="1">
        <v>10.68</v>
      </c>
      <c r="H1394" s="1">
        <v>1965.12</v>
      </c>
      <c r="I1394" s="1">
        <v>1424.44</v>
      </c>
      <c r="J1394" s="1">
        <v>540.67999999999995</v>
      </c>
      <c r="K1394" s="8" t="str">
        <f t="shared" si="21"/>
        <v>Feb</v>
      </c>
    </row>
    <row r="1395" spans="1:11">
      <c r="A1395" s="1" t="s">
        <v>1419</v>
      </c>
      <c r="B1395" s="2">
        <v>45967</v>
      </c>
      <c r="C1395" s="1" t="s">
        <v>31</v>
      </c>
      <c r="D1395" s="1" t="s">
        <v>13</v>
      </c>
      <c r="E1395" s="1" t="s">
        <v>23</v>
      </c>
      <c r="F1395" s="1">
        <v>273</v>
      </c>
      <c r="G1395" s="1">
        <v>16.079999999999998</v>
      </c>
      <c r="H1395" s="1">
        <v>4389.84</v>
      </c>
      <c r="I1395" s="1">
        <v>2720.71</v>
      </c>
      <c r="J1395" s="1">
        <v>1669.13</v>
      </c>
      <c r="K1395" s="8" t="str">
        <f t="shared" si="21"/>
        <v>Nov</v>
      </c>
    </row>
    <row r="1396" spans="1:11">
      <c r="A1396" s="1" t="s">
        <v>1420</v>
      </c>
      <c r="B1396" s="2">
        <v>45914</v>
      </c>
      <c r="C1396" s="1" t="s">
        <v>31</v>
      </c>
      <c r="D1396" s="1" t="s">
        <v>17</v>
      </c>
      <c r="E1396" s="1" t="s">
        <v>26</v>
      </c>
      <c r="F1396" s="1">
        <v>72</v>
      </c>
      <c r="G1396" s="1">
        <v>38.71</v>
      </c>
      <c r="H1396" s="1">
        <v>2787.12</v>
      </c>
      <c r="I1396" s="1">
        <v>2097.27</v>
      </c>
      <c r="J1396" s="1">
        <v>689.85</v>
      </c>
      <c r="K1396" s="8" t="str">
        <f t="shared" si="21"/>
        <v>Sep</v>
      </c>
    </row>
    <row r="1397" spans="1:11">
      <c r="A1397" s="1" t="s">
        <v>1421</v>
      </c>
      <c r="B1397" s="2">
        <v>45965</v>
      </c>
      <c r="C1397" s="1" t="s">
        <v>36</v>
      </c>
      <c r="D1397" s="1" t="s">
        <v>13</v>
      </c>
      <c r="E1397" s="1" t="s">
        <v>18</v>
      </c>
      <c r="F1397" s="1">
        <v>135</v>
      </c>
      <c r="G1397" s="1">
        <v>12.06</v>
      </c>
      <c r="H1397" s="1">
        <v>1628.1</v>
      </c>
      <c r="I1397" s="1">
        <v>1286.54</v>
      </c>
      <c r="J1397" s="1">
        <v>341.56</v>
      </c>
      <c r="K1397" s="8" t="str">
        <f t="shared" si="21"/>
        <v>Nov</v>
      </c>
    </row>
    <row r="1398" spans="1:11">
      <c r="A1398" s="1" t="s">
        <v>1422</v>
      </c>
      <c r="B1398" s="2">
        <v>45875</v>
      </c>
      <c r="C1398" s="1" t="s">
        <v>31</v>
      </c>
      <c r="D1398" s="1" t="s">
        <v>29</v>
      </c>
      <c r="E1398" s="1" t="s">
        <v>14</v>
      </c>
      <c r="F1398" s="1">
        <v>168</v>
      </c>
      <c r="G1398" s="1">
        <v>28.26</v>
      </c>
      <c r="H1398" s="1">
        <v>4747.68</v>
      </c>
      <c r="I1398" s="1">
        <v>3348.93</v>
      </c>
      <c r="J1398" s="1">
        <v>1398.75</v>
      </c>
      <c r="K1398" s="8" t="str">
        <f t="shared" si="21"/>
        <v>Aug</v>
      </c>
    </row>
    <row r="1399" spans="1:11">
      <c r="A1399" s="1" t="s">
        <v>1423</v>
      </c>
      <c r="B1399" s="2">
        <v>45766</v>
      </c>
      <c r="C1399" s="1" t="s">
        <v>36</v>
      </c>
      <c r="D1399" s="1" t="s">
        <v>29</v>
      </c>
      <c r="E1399" s="1" t="s">
        <v>23</v>
      </c>
      <c r="F1399" s="1">
        <v>14</v>
      </c>
      <c r="G1399" s="1">
        <v>33.61</v>
      </c>
      <c r="H1399" s="1">
        <v>470.54</v>
      </c>
      <c r="I1399" s="1">
        <v>334.72</v>
      </c>
      <c r="J1399" s="1">
        <v>135.82</v>
      </c>
      <c r="K1399" s="8" t="str">
        <f t="shared" si="21"/>
        <v>Apr</v>
      </c>
    </row>
    <row r="1400" spans="1:11">
      <c r="A1400" s="1" t="s">
        <v>1424</v>
      </c>
      <c r="B1400" s="2">
        <v>45696</v>
      </c>
      <c r="C1400" s="1" t="s">
        <v>31</v>
      </c>
      <c r="D1400" s="1" t="s">
        <v>29</v>
      </c>
      <c r="E1400" s="1" t="s">
        <v>18</v>
      </c>
      <c r="F1400" s="1">
        <v>262</v>
      </c>
      <c r="G1400" s="1">
        <v>12.28</v>
      </c>
      <c r="H1400" s="1">
        <v>3217.36</v>
      </c>
      <c r="I1400" s="1">
        <v>2508.66</v>
      </c>
      <c r="J1400" s="1">
        <v>708.7</v>
      </c>
      <c r="K1400" s="8" t="str">
        <f t="shared" si="21"/>
        <v>Feb</v>
      </c>
    </row>
    <row r="1401" spans="1:11">
      <c r="A1401" s="1" t="s">
        <v>1425</v>
      </c>
      <c r="B1401" s="2">
        <v>45665</v>
      </c>
      <c r="C1401" s="1" t="s">
        <v>31</v>
      </c>
      <c r="D1401" s="1" t="s">
        <v>29</v>
      </c>
      <c r="E1401" s="1" t="s">
        <v>23</v>
      </c>
      <c r="F1401" s="1">
        <v>109</v>
      </c>
      <c r="G1401" s="1">
        <v>27.3</v>
      </c>
      <c r="H1401" s="1">
        <v>2975.7</v>
      </c>
      <c r="I1401" s="1">
        <v>1908.98</v>
      </c>
      <c r="J1401" s="1">
        <v>1066.72</v>
      </c>
      <c r="K1401" s="8" t="str">
        <f t="shared" si="21"/>
        <v>Jan</v>
      </c>
    </row>
    <row r="1402" spans="1:11">
      <c r="A1402" s="1" t="s">
        <v>1426</v>
      </c>
      <c r="B1402" s="2">
        <v>45923</v>
      </c>
      <c r="C1402" s="1" t="s">
        <v>31</v>
      </c>
      <c r="D1402" s="1" t="s">
        <v>13</v>
      </c>
      <c r="E1402" s="1" t="s">
        <v>14</v>
      </c>
      <c r="F1402" s="1">
        <v>90</v>
      </c>
      <c r="G1402" s="1">
        <v>13.92</v>
      </c>
      <c r="H1402" s="1">
        <v>1252.8</v>
      </c>
      <c r="I1402" s="1">
        <v>968.68</v>
      </c>
      <c r="J1402" s="1">
        <v>284.12</v>
      </c>
      <c r="K1402" s="8" t="str">
        <f t="shared" si="21"/>
        <v>Sep</v>
      </c>
    </row>
    <row r="1403" spans="1:11">
      <c r="A1403" s="1" t="s">
        <v>1427</v>
      </c>
      <c r="B1403" s="2">
        <v>45754</v>
      </c>
      <c r="C1403" s="1" t="s">
        <v>36</v>
      </c>
      <c r="D1403" s="1" t="s">
        <v>29</v>
      </c>
      <c r="E1403" s="1" t="s">
        <v>23</v>
      </c>
      <c r="F1403" s="1">
        <v>290</v>
      </c>
      <c r="G1403" s="1">
        <v>24.01</v>
      </c>
      <c r="H1403" s="1">
        <v>6962.9</v>
      </c>
      <c r="I1403" s="1">
        <v>5392.3</v>
      </c>
      <c r="J1403" s="1">
        <v>1570.6</v>
      </c>
      <c r="K1403" s="8" t="str">
        <f t="shared" si="21"/>
        <v>Apr</v>
      </c>
    </row>
    <row r="1404" spans="1:11">
      <c r="A1404" s="1" t="s">
        <v>1428</v>
      </c>
      <c r="B1404" s="2">
        <v>45749</v>
      </c>
      <c r="C1404" s="1" t="s">
        <v>36</v>
      </c>
      <c r="D1404" s="1" t="s">
        <v>13</v>
      </c>
      <c r="E1404" s="1" t="s">
        <v>14</v>
      </c>
      <c r="F1404" s="1">
        <v>183</v>
      </c>
      <c r="G1404" s="1">
        <v>12.07</v>
      </c>
      <c r="H1404" s="1">
        <v>2208.81</v>
      </c>
      <c r="I1404" s="1">
        <v>1537.94</v>
      </c>
      <c r="J1404" s="1">
        <v>670.87</v>
      </c>
      <c r="K1404" s="8" t="str">
        <f t="shared" si="21"/>
        <v>Apr</v>
      </c>
    </row>
    <row r="1405" spans="1:11">
      <c r="A1405" s="1" t="s">
        <v>1429</v>
      </c>
      <c r="B1405" s="2">
        <v>45904</v>
      </c>
      <c r="C1405" s="1" t="s">
        <v>31</v>
      </c>
      <c r="D1405" s="1" t="s">
        <v>29</v>
      </c>
      <c r="E1405" s="1" t="s">
        <v>26</v>
      </c>
      <c r="F1405" s="1">
        <v>285</v>
      </c>
      <c r="G1405" s="1">
        <v>11.77</v>
      </c>
      <c r="H1405" s="1">
        <v>3354.45</v>
      </c>
      <c r="I1405" s="1">
        <v>2054.04</v>
      </c>
      <c r="J1405" s="1">
        <v>1300.4100000000001</v>
      </c>
      <c r="K1405" s="8" t="str">
        <f t="shared" si="21"/>
        <v>Sep</v>
      </c>
    </row>
    <row r="1406" spans="1:11">
      <c r="A1406" s="1" t="s">
        <v>1430</v>
      </c>
      <c r="B1406" s="2">
        <v>45954</v>
      </c>
      <c r="C1406" s="1" t="s">
        <v>16</v>
      </c>
      <c r="D1406" s="1" t="s">
        <v>29</v>
      </c>
      <c r="E1406" s="1" t="s">
        <v>20</v>
      </c>
      <c r="F1406" s="1">
        <v>99</v>
      </c>
      <c r="G1406" s="1">
        <v>20.76</v>
      </c>
      <c r="H1406" s="1">
        <v>2055.2399999999998</v>
      </c>
      <c r="I1406" s="1">
        <v>1392.73</v>
      </c>
      <c r="J1406" s="1">
        <v>662.51</v>
      </c>
      <c r="K1406" s="8" t="str">
        <f t="shared" si="21"/>
        <v>Oct</v>
      </c>
    </row>
    <row r="1407" spans="1:11">
      <c r="A1407" s="1" t="s">
        <v>1431</v>
      </c>
      <c r="B1407" s="2">
        <v>45980</v>
      </c>
      <c r="C1407" s="1" t="s">
        <v>12</v>
      </c>
      <c r="D1407" s="1" t="s">
        <v>17</v>
      </c>
      <c r="E1407" s="1" t="s">
        <v>33</v>
      </c>
      <c r="F1407" s="1">
        <v>235</v>
      </c>
      <c r="G1407" s="1">
        <v>26.41</v>
      </c>
      <c r="H1407" s="1">
        <v>6206.35</v>
      </c>
      <c r="I1407" s="1">
        <v>4740.3900000000003</v>
      </c>
      <c r="J1407" s="1">
        <v>1465.96</v>
      </c>
      <c r="K1407" s="8" t="str">
        <f t="shared" si="21"/>
        <v>Nov</v>
      </c>
    </row>
    <row r="1408" spans="1:11">
      <c r="A1408" s="1" t="s">
        <v>1432</v>
      </c>
      <c r="B1408" s="2">
        <v>45927</v>
      </c>
      <c r="C1408" s="1" t="s">
        <v>12</v>
      </c>
      <c r="D1408" s="1" t="s">
        <v>29</v>
      </c>
      <c r="E1408" s="1" t="s">
        <v>26</v>
      </c>
      <c r="F1408" s="1">
        <v>255</v>
      </c>
      <c r="G1408" s="1">
        <v>39.99</v>
      </c>
      <c r="H1408" s="1">
        <v>10197.450000000001</v>
      </c>
      <c r="I1408" s="1">
        <v>6538.28</v>
      </c>
      <c r="J1408" s="1">
        <v>3659.17</v>
      </c>
      <c r="K1408" s="8" t="str">
        <f t="shared" si="21"/>
        <v>Sep</v>
      </c>
    </row>
    <row r="1409" spans="1:11">
      <c r="A1409" s="1" t="s">
        <v>1433</v>
      </c>
      <c r="B1409" s="2">
        <v>45865</v>
      </c>
      <c r="C1409" s="1" t="s">
        <v>22</v>
      </c>
      <c r="D1409" s="1" t="s">
        <v>29</v>
      </c>
      <c r="E1409" s="1" t="s">
        <v>26</v>
      </c>
      <c r="F1409" s="1">
        <v>231</v>
      </c>
      <c r="G1409" s="1">
        <v>11.29</v>
      </c>
      <c r="H1409" s="1">
        <v>2607.9899999999998</v>
      </c>
      <c r="I1409" s="1">
        <v>1777.55</v>
      </c>
      <c r="J1409" s="1">
        <v>830.44</v>
      </c>
      <c r="K1409" s="8" t="str">
        <f t="shared" si="21"/>
        <v>Jul</v>
      </c>
    </row>
    <row r="1410" spans="1:11">
      <c r="A1410" s="1" t="s">
        <v>1434</v>
      </c>
      <c r="B1410" s="2">
        <v>45990</v>
      </c>
      <c r="C1410" s="1" t="s">
        <v>28</v>
      </c>
      <c r="D1410" s="1" t="s">
        <v>13</v>
      </c>
      <c r="E1410" s="1" t="s">
        <v>18</v>
      </c>
      <c r="F1410" s="1">
        <v>291</v>
      </c>
      <c r="G1410" s="1">
        <v>14.38</v>
      </c>
      <c r="H1410" s="1">
        <v>4184.58</v>
      </c>
      <c r="I1410" s="1">
        <v>2728.63</v>
      </c>
      <c r="J1410" s="1">
        <v>1455.95</v>
      </c>
      <c r="K1410" s="8" t="str">
        <f t="shared" ref="K1410:K1473" si="22">TEXT(B1410,"mmm")</f>
        <v>Nov</v>
      </c>
    </row>
    <row r="1411" spans="1:11">
      <c r="A1411" s="1" t="s">
        <v>1435</v>
      </c>
      <c r="B1411" s="2">
        <v>45880</v>
      </c>
      <c r="C1411" s="1" t="s">
        <v>31</v>
      </c>
      <c r="D1411" s="1" t="s">
        <v>13</v>
      </c>
      <c r="E1411" s="1" t="s">
        <v>23</v>
      </c>
      <c r="F1411" s="1">
        <v>224</v>
      </c>
      <c r="G1411" s="1">
        <v>19.8</v>
      </c>
      <c r="H1411" s="1">
        <v>4435.2</v>
      </c>
      <c r="I1411" s="1">
        <v>3372.1</v>
      </c>
      <c r="J1411" s="1">
        <v>1063.0999999999999</v>
      </c>
      <c r="K1411" s="8" t="str">
        <f t="shared" si="22"/>
        <v>Aug</v>
      </c>
    </row>
    <row r="1412" spans="1:11">
      <c r="A1412" s="1" t="s">
        <v>1436</v>
      </c>
      <c r="B1412" s="2">
        <v>45755</v>
      </c>
      <c r="C1412" s="1" t="s">
        <v>22</v>
      </c>
      <c r="D1412" s="1" t="s">
        <v>29</v>
      </c>
      <c r="E1412" s="1" t="s">
        <v>14</v>
      </c>
      <c r="F1412" s="1">
        <v>77</v>
      </c>
      <c r="G1412" s="1">
        <v>33.43</v>
      </c>
      <c r="H1412" s="1">
        <v>2574.11</v>
      </c>
      <c r="I1412" s="1">
        <v>2019.62</v>
      </c>
      <c r="J1412" s="1">
        <v>554.49</v>
      </c>
      <c r="K1412" s="8" t="str">
        <f t="shared" si="22"/>
        <v>Apr</v>
      </c>
    </row>
    <row r="1413" spans="1:11">
      <c r="A1413" s="1" t="s">
        <v>1437</v>
      </c>
      <c r="B1413" s="2">
        <v>45678</v>
      </c>
      <c r="C1413" s="1" t="s">
        <v>31</v>
      </c>
      <c r="D1413" s="1" t="s">
        <v>17</v>
      </c>
      <c r="E1413" s="1" t="s">
        <v>20</v>
      </c>
      <c r="F1413" s="1">
        <v>187</v>
      </c>
      <c r="G1413" s="1">
        <v>30.3</v>
      </c>
      <c r="H1413" s="1">
        <v>5666.1</v>
      </c>
      <c r="I1413" s="1">
        <v>3812.54</v>
      </c>
      <c r="J1413" s="1">
        <v>1853.56</v>
      </c>
      <c r="K1413" s="8" t="str">
        <f t="shared" si="22"/>
        <v>Jan</v>
      </c>
    </row>
    <row r="1414" spans="1:11">
      <c r="A1414" s="1" t="s">
        <v>1438</v>
      </c>
      <c r="B1414" s="2">
        <v>45820</v>
      </c>
      <c r="C1414" s="1" t="s">
        <v>36</v>
      </c>
      <c r="D1414" s="1" t="s">
        <v>17</v>
      </c>
      <c r="E1414" s="1" t="s">
        <v>18</v>
      </c>
      <c r="F1414" s="1">
        <v>284</v>
      </c>
      <c r="G1414" s="1">
        <v>26</v>
      </c>
      <c r="H1414" s="1">
        <v>7384</v>
      </c>
      <c r="I1414" s="1">
        <v>4845.28</v>
      </c>
      <c r="J1414" s="1">
        <v>2538.7199999999998</v>
      </c>
      <c r="K1414" s="8" t="str">
        <f t="shared" si="22"/>
        <v>Jun</v>
      </c>
    </row>
    <row r="1415" spans="1:11">
      <c r="A1415" s="1" t="s">
        <v>1439</v>
      </c>
      <c r="B1415" s="2">
        <v>45983</v>
      </c>
      <c r="C1415" s="1" t="s">
        <v>12</v>
      </c>
      <c r="D1415" s="1" t="s">
        <v>17</v>
      </c>
      <c r="E1415" s="1" t="s">
        <v>33</v>
      </c>
      <c r="F1415" s="1">
        <v>179</v>
      </c>
      <c r="G1415" s="1">
        <v>18.75</v>
      </c>
      <c r="H1415" s="1">
        <v>3356.25</v>
      </c>
      <c r="I1415" s="1">
        <v>2320.23</v>
      </c>
      <c r="J1415" s="1">
        <v>1036.02</v>
      </c>
      <c r="K1415" s="8" t="str">
        <f t="shared" si="22"/>
        <v>Nov</v>
      </c>
    </row>
    <row r="1416" spans="1:11">
      <c r="A1416" s="1" t="s">
        <v>1440</v>
      </c>
      <c r="B1416" s="2">
        <v>45973</v>
      </c>
      <c r="C1416" s="1" t="s">
        <v>28</v>
      </c>
      <c r="D1416" s="1" t="s">
        <v>13</v>
      </c>
      <c r="E1416" s="1" t="s">
        <v>14</v>
      </c>
      <c r="F1416" s="1">
        <v>229</v>
      </c>
      <c r="G1416" s="1">
        <v>22.66</v>
      </c>
      <c r="H1416" s="1">
        <v>5189.1400000000003</v>
      </c>
      <c r="I1416" s="1">
        <v>3420.47</v>
      </c>
      <c r="J1416" s="1">
        <v>1768.67</v>
      </c>
      <c r="K1416" s="8" t="str">
        <f t="shared" si="22"/>
        <v>Nov</v>
      </c>
    </row>
    <row r="1417" spans="1:11">
      <c r="A1417" s="1" t="s">
        <v>1441</v>
      </c>
      <c r="B1417" s="2">
        <v>45752</v>
      </c>
      <c r="C1417" s="1" t="s">
        <v>22</v>
      </c>
      <c r="D1417" s="1" t="s">
        <v>13</v>
      </c>
      <c r="E1417" s="1" t="s">
        <v>20</v>
      </c>
      <c r="F1417" s="1">
        <v>103</v>
      </c>
      <c r="G1417" s="1">
        <v>36.590000000000003</v>
      </c>
      <c r="H1417" s="1">
        <v>3768.77</v>
      </c>
      <c r="I1417" s="1">
        <v>2829.44</v>
      </c>
      <c r="J1417" s="1">
        <v>939.33</v>
      </c>
      <c r="K1417" s="8" t="str">
        <f t="shared" si="22"/>
        <v>Apr</v>
      </c>
    </row>
    <row r="1418" spans="1:11">
      <c r="A1418" s="1" t="s">
        <v>1442</v>
      </c>
      <c r="B1418" s="2">
        <v>45751</v>
      </c>
      <c r="C1418" s="1" t="s">
        <v>12</v>
      </c>
      <c r="D1418" s="1" t="s">
        <v>17</v>
      </c>
      <c r="E1418" s="1" t="s">
        <v>26</v>
      </c>
      <c r="F1418" s="1">
        <v>247</v>
      </c>
      <c r="G1418" s="1">
        <v>14.33</v>
      </c>
      <c r="H1418" s="1">
        <v>3539.51</v>
      </c>
      <c r="I1418" s="1">
        <v>2606.59</v>
      </c>
      <c r="J1418" s="1">
        <v>932.92</v>
      </c>
      <c r="K1418" s="8" t="str">
        <f t="shared" si="22"/>
        <v>Apr</v>
      </c>
    </row>
    <row r="1419" spans="1:11">
      <c r="A1419" s="1" t="s">
        <v>1443</v>
      </c>
      <c r="B1419" s="2">
        <v>45695</v>
      </c>
      <c r="C1419" s="1" t="s">
        <v>36</v>
      </c>
      <c r="D1419" s="1" t="s">
        <v>29</v>
      </c>
      <c r="E1419" s="1" t="s">
        <v>18</v>
      </c>
      <c r="F1419" s="1">
        <v>262</v>
      </c>
      <c r="G1419" s="1">
        <v>22.86</v>
      </c>
      <c r="H1419" s="1">
        <v>5989.32</v>
      </c>
      <c r="I1419" s="1">
        <v>4321.66</v>
      </c>
      <c r="J1419" s="1">
        <v>1667.66</v>
      </c>
      <c r="K1419" s="8" t="str">
        <f t="shared" si="22"/>
        <v>Feb</v>
      </c>
    </row>
    <row r="1420" spans="1:11">
      <c r="A1420" s="1" t="s">
        <v>1444</v>
      </c>
      <c r="B1420" s="2">
        <v>45704</v>
      </c>
      <c r="C1420" s="1" t="s">
        <v>16</v>
      </c>
      <c r="D1420" s="1" t="s">
        <v>29</v>
      </c>
      <c r="E1420" s="1" t="s">
        <v>26</v>
      </c>
      <c r="F1420" s="1">
        <v>196</v>
      </c>
      <c r="G1420" s="1">
        <v>24.27</v>
      </c>
      <c r="H1420" s="1">
        <v>4756.92</v>
      </c>
      <c r="I1420" s="1">
        <v>3741.88</v>
      </c>
      <c r="J1420" s="1">
        <v>1015.04</v>
      </c>
      <c r="K1420" s="8" t="str">
        <f t="shared" si="22"/>
        <v>Feb</v>
      </c>
    </row>
    <row r="1421" spans="1:11">
      <c r="A1421" s="1" t="s">
        <v>1445</v>
      </c>
      <c r="B1421" s="2">
        <v>45703</v>
      </c>
      <c r="C1421" s="1" t="s">
        <v>31</v>
      </c>
      <c r="D1421" s="1" t="s">
        <v>17</v>
      </c>
      <c r="E1421" s="1" t="s">
        <v>14</v>
      </c>
      <c r="F1421" s="1">
        <v>214</v>
      </c>
      <c r="G1421" s="1">
        <v>33.22</v>
      </c>
      <c r="H1421" s="1">
        <v>7109.08</v>
      </c>
      <c r="I1421" s="1">
        <v>5494.22</v>
      </c>
      <c r="J1421" s="1">
        <v>1614.86</v>
      </c>
      <c r="K1421" s="8" t="str">
        <f t="shared" si="22"/>
        <v>Feb</v>
      </c>
    </row>
    <row r="1422" spans="1:11">
      <c r="A1422" s="1" t="s">
        <v>1446</v>
      </c>
      <c r="B1422" s="2">
        <v>45920</v>
      </c>
      <c r="C1422" s="1" t="s">
        <v>16</v>
      </c>
      <c r="D1422" s="1" t="s">
        <v>29</v>
      </c>
      <c r="E1422" s="1" t="s">
        <v>23</v>
      </c>
      <c r="F1422" s="1">
        <v>139</v>
      </c>
      <c r="G1422" s="1">
        <v>10.63</v>
      </c>
      <c r="H1422" s="1">
        <v>1477.57</v>
      </c>
      <c r="I1422" s="1">
        <v>1141.57</v>
      </c>
      <c r="J1422" s="1">
        <v>336</v>
      </c>
      <c r="K1422" s="8" t="str">
        <f t="shared" si="22"/>
        <v>Sep</v>
      </c>
    </row>
    <row r="1423" spans="1:11">
      <c r="A1423" s="1" t="s">
        <v>1447</v>
      </c>
      <c r="B1423" s="2">
        <v>45779</v>
      </c>
      <c r="C1423" s="1" t="s">
        <v>22</v>
      </c>
      <c r="D1423" s="1" t="s">
        <v>17</v>
      </c>
      <c r="E1423" s="1" t="s">
        <v>26</v>
      </c>
      <c r="F1423" s="1">
        <v>201</v>
      </c>
      <c r="G1423" s="1">
        <v>38.869999999999997</v>
      </c>
      <c r="H1423" s="1">
        <v>7812.87</v>
      </c>
      <c r="I1423" s="1">
        <v>6053.72</v>
      </c>
      <c r="J1423" s="1">
        <v>1759.15</v>
      </c>
      <c r="K1423" s="8" t="str">
        <f t="shared" si="22"/>
        <v>May</v>
      </c>
    </row>
    <row r="1424" spans="1:11">
      <c r="A1424" s="1" t="s">
        <v>1448</v>
      </c>
      <c r="B1424" s="2">
        <v>45724</v>
      </c>
      <c r="C1424" s="1" t="s">
        <v>12</v>
      </c>
      <c r="D1424" s="1" t="s">
        <v>17</v>
      </c>
      <c r="E1424" s="1" t="s">
        <v>23</v>
      </c>
      <c r="F1424" s="1">
        <v>108</v>
      </c>
      <c r="G1424" s="1">
        <v>39.28</v>
      </c>
      <c r="H1424" s="1">
        <v>4242.24</v>
      </c>
      <c r="I1424" s="1">
        <v>3286.7</v>
      </c>
      <c r="J1424" s="1">
        <v>955.54</v>
      </c>
      <c r="K1424" s="8" t="str">
        <f t="shared" si="22"/>
        <v>Mar</v>
      </c>
    </row>
    <row r="1425" spans="1:11">
      <c r="A1425" s="1" t="s">
        <v>1449</v>
      </c>
      <c r="B1425" s="2">
        <v>45818</v>
      </c>
      <c r="C1425" s="1" t="s">
        <v>36</v>
      </c>
      <c r="D1425" s="1" t="s">
        <v>29</v>
      </c>
      <c r="E1425" s="1" t="s">
        <v>18</v>
      </c>
      <c r="F1425" s="1">
        <v>233</v>
      </c>
      <c r="G1425" s="1">
        <v>14.14</v>
      </c>
      <c r="H1425" s="1">
        <v>3294.62</v>
      </c>
      <c r="I1425" s="1">
        <v>2359.67</v>
      </c>
      <c r="J1425" s="1">
        <v>934.95</v>
      </c>
      <c r="K1425" s="8" t="str">
        <f t="shared" si="22"/>
        <v>Jun</v>
      </c>
    </row>
    <row r="1426" spans="1:11">
      <c r="A1426" s="1" t="s">
        <v>1450</v>
      </c>
      <c r="B1426" s="2">
        <v>45798</v>
      </c>
      <c r="C1426" s="1" t="s">
        <v>12</v>
      </c>
      <c r="D1426" s="1" t="s">
        <v>29</v>
      </c>
      <c r="E1426" s="1" t="s">
        <v>14</v>
      </c>
      <c r="F1426" s="1">
        <v>113</v>
      </c>
      <c r="G1426" s="1">
        <v>13.66</v>
      </c>
      <c r="H1426" s="1">
        <v>1543.58</v>
      </c>
      <c r="I1426" s="1">
        <v>1194.8399999999999</v>
      </c>
      <c r="J1426" s="1">
        <v>348.74</v>
      </c>
      <c r="K1426" s="8" t="str">
        <f t="shared" si="22"/>
        <v>May</v>
      </c>
    </row>
    <row r="1427" spans="1:11">
      <c r="A1427" s="1" t="s">
        <v>1451</v>
      </c>
      <c r="B1427" s="2">
        <v>45953</v>
      </c>
      <c r="C1427" s="1" t="s">
        <v>36</v>
      </c>
      <c r="D1427" s="1" t="s">
        <v>13</v>
      </c>
      <c r="E1427" s="1" t="s">
        <v>23</v>
      </c>
      <c r="F1427" s="1">
        <v>151</v>
      </c>
      <c r="G1427" s="1">
        <v>11.25</v>
      </c>
      <c r="H1427" s="1">
        <v>1698.75</v>
      </c>
      <c r="I1427" s="1">
        <v>1044.5</v>
      </c>
      <c r="J1427" s="1">
        <v>654.25</v>
      </c>
      <c r="K1427" s="8" t="str">
        <f t="shared" si="22"/>
        <v>Oct</v>
      </c>
    </row>
    <row r="1428" spans="1:11">
      <c r="A1428" s="1" t="s">
        <v>1452</v>
      </c>
      <c r="B1428" s="2">
        <v>45824</v>
      </c>
      <c r="C1428" s="1" t="s">
        <v>12</v>
      </c>
      <c r="D1428" s="1" t="s">
        <v>29</v>
      </c>
      <c r="E1428" s="1" t="s">
        <v>20</v>
      </c>
      <c r="F1428" s="1">
        <v>39</v>
      </c>
      <c r="G1428" s="1">
        <v>12.4</v>
      </c>
      <c r="H1428" s="1">
        <v>483.6</v>
      </c>
      <c r="I1428" s="1">
        <v>337.23</v>
      </c>
      <c r="J1428" s="1">
        <v>146.37</v>
      </c>
      <c r="K1428" s="8" t="str">
        <f t="shared" si="22"/>
        <v>Jun</v>
      </c>
    </row>
    <row r="1429" spans="1:11">
      <c r="A1429" s="1" t="s">
        <v>1453</v>
      </c>
      <c r="B1429" s="2">
        <v>45850</v>
      </c>
      <c r="C1429" s="1" t="s">
        <v>16</v>
      </c>
      <c r="D1429" s="1" t="s">
        <v>13</v>
      </c>
      <c r="E1429" s="1" t="s">
        <v>20</v>
      </c>
      <c r="F1429" s="1">
        <v>104</v>
      </c>
      <c r="G1429" s="1">
        <v>25.37</v>
      </c>
      <c r="H1429" s="1">
        <v>2638.48</v>
      </c>
      <c r="I1429" s="1">
        <v>1685.42</v>
      </c>
      <c r="J1429" s="1">
        <v>953.06</v>
      </c>
      <c r="K1429" s="8" t="str">
        <f t="shared" si="22"/>
        <v>Jul</v>
      </c>
    </row>
    <row r="1430" spans="1:11">
      <c r="A1430" s="1" t="s">
        <v>1454</v>
      </c>
      <c r="B1430" s="2">
        <v>45982</v>
      </c>
      <c r="C1430" s="1" t="s">
        <v>36</v>
      </c>
      <c r="D1430" s="1" t="s">
        <v>29</v>
      </c>
      <c r="E1430" s="1" t="s">
        <v>18</v>
      </c>
      <c r="F1430" s="1">
        <v>80</v>
      </c>
      <c r="G1430" s="1">
        <v>10.96</v>
      </c>
      <c r="H1430" s="1">
        <v>876.8</v>
      </c>
      <c r="I1430" s="1">
        <v>540.49</v>
      </c>
      <c r="J1430" s="1">
        <v>336.31</v>
      </c>
      <c r="K1430" s="8" t="str">
        <f t="shared" si="22"/>
        <v>Nov</v>
      </c>
    </row>
    <row r="1431" spans="1:11">
      <c r="A1431" s="1" t="s">
        <v>1455</v>
      </c>
      <c r="B1431" s="2">
        <v>45841</v>
      </c>
      <c r="C1431" s="1" t="s">
        <v>28</v>
      </c>
      <c r="D1431" s="1" t="s">
        <v>29</v>
      </c>
      <c r="E1431" s="1" t="s">
        <v>23</v>
      </c>
      <c r="F1431" s="1">
        <v>67</v>
      </c>
      <c r="G1431" s="1">
        <v>25.43</v>
      </c>
      <c r="H1431" s="1">
        <v>1703.81</v>
      </c>
      <c r="I1431" s="1">
        <v>1131.3499999999999</v>
      </c>
      <c r="J1431" s="1">
        <v>572.46</v>
      </c>
      <c r="K1431" s="8" t="str">
        <f t="shared" si="22"/>
        <v>Jul</v>
      </c>
    </row>
    <row r="1432" spans="1:11">
      <c r="A1432" s="1" t="s">
        <v>1456</v>
      </c>
      <c r="B1432" s="2">
        <v>45677</v>
      </c>
      <c r="C1432" s="1" t="s">
        <v>28</v>
      </c>
      <c r="D1432" s="1" t="s">
        <v>29</v>
      </c>
      <c r="E1432" s="1" t="s">
        <v>23</v>
      </c>
      <c r="F1432" s="1">
        <v>225</v>
      </c>
      <c r="G1432" s="1">
        <v>30.76</v>
      </c>
      <c r="H1432" s="1">
        <v>6921</v>
      </c>
      <c r="I1432" s="1">
        <v>4915.6000000000004</v>
      </c>
      <c r="J1432" s="1">
        <v>2005.4</v>
      </c>
      <c r="K1432" s="8" t="str">
        <f t="shared" si="22"/>
        <v>Jan</v>
      </c>
    </row>
    <row r="1433" spans="1:11">
      <c r="A1433" s="1" t="s">
        <v>1457</v>
      </c>
      <c r="B1433" s="2">
        <v>45835</v>
      </c>
      <c r="C1433" s="1" t="s">
        <v>36</v>
      </c>
      <c r="D1433" s="1" t="s">
        <v>17</v>
      </c>
      <c r="E1433" s="1" t="s">
        <v>23</v>
      </c>
      <c r="F1433" s="1">
        <v>32</v>
      </c>
      <c r="G1433" s="1">
        <v>18.53</v>
      </c>
      <c r="H1433" s="1">
        <v>592.96</v>
      </c>
      <c r="I1433" s="1">
        <v>377.96</v>
      </c>
      <c r="J1433" s="1">
        <v>215</v>
      </c>
      <c r="K1433" s="8" t="str">
        <f t="shared" si="22"/>
        <v>Jun</v>
      </c>
    </row>
    <row r="1434" spans="1:11">
      <c r="A1434" s="1" t="s">
        <v>1458</v>
      </c>
      <c r="B1434" s="2">
        <v>45685</v>
      </c>
      <c r="C1434" s="1" t="s">
        <v>22</v>
      </c>
      <c r="D1434" s="1" t="s">
        <v>29</v>
      </c>
      <c r="E1434" s="1" t="s">
        <v>20</v>
      </c>
      <c r="F1434" s="1">
        <v>292</v>
      </c>
      <c r="G1434" s="1">
        <v>30.02</v>
      </c>
      <c r="H1434" s="1">
        <v>8765.84</v>
      </c>
      <c r="I1434" s="1">
        <v>6206.55</v>
      </c>
      <c r="J1434" s="1">
        <v>2559.29</v>
      </c>
      <c r="K1434" s="8" t="str">
        <f t="shared" si="22"/>
        <v>Jan</v>
      </c>
    </row>
    <row r="1435" spans="1:11">
      <c r="A1435" s="1" t="s">
        <v>1459</v>
      </c>
      <c r="B1435" s="2">
        <v>45947</v>
      </c>
      <c r="C1435" s="1" t="s">
        <v>22</v>
      </c>
      <c r="D1435" s="1" t="s">
        <v>13</v>
      </c>
      <c r="E1435" s="1" t="s">
        <v>33</v>
      </c>
      <c r="F1435" s="1">
        <v>268</v>
      </c>
      <c r="G1435" s="1">
        <v>10.51</v>
      </c>
      <c r="H1435" s="1">
        <v>2816.68</v>
      </c>
      <c r="I1435" s="1">
        <v>1702.31</v>
      </c>
      <c r="J1435" s="1">
        <v>1114.3699999999999</v>
      </c>
      <c r="K1435" s="8" t="str">
        <f t="shared" si="22"/>
        <v>Oct</v>
      </c>
    </row>
    <row r="1436" spans="1:11">
      <c r="A1436" s="1" t="s">
        <v>1460</v>
      </c>
      <c r="B1436" s="2">
        <v>45971</v>
      </c>
      <c r="C1436" s="1" t="s">
        <v>12</v>
      </c>
      <c r="D1436" s="1" t="s">
        <v>13</v>
      </c>
      <c r="E1436" s="1" t="s">
        <v>26</v>
      </c>
      <c r="F1436" s="1">
        <v>67</v>
      </c>
      <c r="G1436" s="1">
        <v>39.729999999999997</v>
      </c>
      <c r="H1436" s="1">
        <v>2661.91</v>
      </c>
      <c r="I1436" s="1">
        <v>1948.57</v>
      </c>
      <c r="J1436" s="1">
        <v>713.34</v>
      </c>
      <c r="K1436" s="8" t="str">
        <f t="shared" si="22"/>
        <v>Nov</v>
      </c>
    </row>
    <row r="1437" spans="1:11">
      <c r="A1437" s="1" t="s">
        <v>1461</v>
      </c>
      <c r="B1437" s="2">
        <v>45867</v>
      </c>
      <c r="C1437" s="1" t="s">
        <v>22</v>
      </c>
      <c r="D1437" s="1" t="s">
        <v>17</v>
      </c>
      <c r="E1437" s="1" t="s">
        <v>26</v>
      </c>
      <c r="F1437" s="1">
        <v>260</v>
      </c>
      <c r="G1437" s="1">
        <v>36.090000000000003</v>
      </c>
      <c r="H1437" s="1">
        <v>9383.4</v>
      </c>
      <c r="I1437" s="1">
        <v>7472.91</v>
      </c>
      <c r="J1437" s="1">
        <v>1910.49</v>
      </c>
      <c r="K1437" s="8" t="str">
        <f t="shared" si="22"/>
        <v>Jul</v>
      </c>
    </row>
    <row r="1438" spans="1:11">
      <c r="A1438" s="1" t="s">
        <v>1462</v>
      </c>
      <c r="B1438" s="2">
        <v>45768</v>
      </c>
      <c r="C1438" s="1" t="s">
        <v>12</v>
      </c>
      <c r="D1438" s="1" t="s">
        <v>17</v>
      </c>
      <c r="E1438" s="1" t="s">
        <v>20</v>
      </c>
      <c r="F1438" s="1">
        <v>72</v>
      </c>
      <c r="G1438" s="1">
        <v>22.18</v>
      </c>
      <c r="H1438" s="1">
        <v>1596.96</v>
      </c>
      <c r="I1438" s="1">
        <v>982.17</v>
      </c>
      <c r="J1438" s="1">
        <v>614.79</v>
      </c>
      <c r="K1438" s="8" t="str">
        <f t="shared" si="22"/>
        <v>Apr</v>
      </c>
    </row>
    <row r="1439" spans="1:11">
      <c r="A1439" s="1" t="s">
        <v>1463</v>
      </c>
      <c r="B1439" s="2">
        <v>45679</v>
      </c>
      <c r="C1439" s="1" t="s">
        <v>12</v>
      </c>
      <c r="D1439" s="1" t="s">
        <v>13</v>
      </c>
      <c r="E1439" s="1" t="s">
        <v>33</v>
      </c>
      <c r="F1439" s="1">
        <v>243</v>
      </c>
      <c r="G1439" s="1">
        <v>15.21</v>
      </c>
      <c r="H1439" s="1">
        <v>3696.03</v>
      </c>
      <c r="I1439" s="1">
        <v>2727.55</v>
      </c>
      <c r="J1439" s="1">
        <v>968.48</v>
      </c>
      <c r="K1439" s="8" t="str">
        <f t="shared" si="22"/>
        <v>Jan</v>
      </c>
    </row>
    <row r="1440" spans="1:11">
      <c r="A1440" s="1" t="s">
        <v>1464</v>
      </c>
      <c r="B1440" s="2">
        <v>45876</v>
      </c>
      <c r="C1440" s="1" t="s">
        <v>31</v>
      </c>
      <c r="D1440" s="1" t="s">
        <v>29</v>
      </c>
      <c r="E1440" s="1" t="s">
        <v>23</v>
      </c>
      <c r="F1440" s="1">
        <v>161</v>
      </c>
      <c r="G1440" s="1">
        <v>24.06</v>
      </c>
      <c r="H1440" s="1">
        <v>3873.66</v>
      </c>
      <c r="I1440" s="1">
        <v>2358.08</v>
      </c>
      <c r="J1440" s="1">
        <v>1515.58</v>
      </c>
      <c r="K1440" s="8" t="str">
        <f t="shared" si="22"/>
        <v>Aug</v>
      </c>
    </row>
    <row r="1441" spans="1:11">
      <c r="A1441" s="1" t="s">
        <v>1465</v>
      </c>
      <c r="B1441" s="2">
        <v>45942</v>
      </c>
      <c r="C1441" s="1" t="s">
        <v>16</v>
      </c>
      <c r="D1441" s="1" t="s">
        <v>13</v>
      </c>
      <c r="E1441" s="1" t="s">
        <v>14</v>
      </c>
      <c r="F1441" s="1">
        <v>132</v>
      </c>
      <c r="G1441" s="1">
        <v>17.850000000000001</v>
      </c>
      <c r="H1441" s="1">
        <v>2356.1999999999998</v>
      </c>
      <c r="I1441" s="1">
        <v>1841.55</v>
      </c>
      <c r="J1441" s="1">
        <v>514.65</v>
      </c>
      <c r="K1441" s="8" t="str">
        <f t="shared" si="22"/>
        <v>Oct</v>
      </c>
    </row>
    <row r="1442" spans="1:11">
      <c r="A1442" s="1" t="s">
        <v>1466</v>
      </c>
      <c r="B1442" s="2">
        <v>45929</v>
      </c>
      <c r="C1442" s="1" t="s">
        <v>12</v>
      </c>
      <c r="D1442" s="1" t="s">
        <v>17</v>
      </c>
      <c r="E1442" s="1" t="s">
        <v>18</v>
      </c>
      <c r="F1442" s="1">
        <v>17</v>
      </c>
      <c r="G1442" s="1">
        <v>30.37</v>
      </c>
      <c r="H1442" s="1">
        <v>516.29</v>
      </c>
      <c r="I1442" s="1">
        <v>396.49</v>
      </c>
      <c r="J1442" s="1">
        <v>119.8</v>
      </c>
      <c r="K1442" s="8" t="str">
        <f t="shared" si="22"/>
        <v>Sep</v>
      </c>
    </row>
    <row r="1443" spans="1:11">
      <c r="A1443" s="1" t="s">
        <v>1467</v>
      </c>
      <c r="B1443" s="2">
        <v>45807</v>
      </c>
      <c r="C1443" s="1" t="s">
        <v>22</v>
      </c>
      <c r="D1443" s="1" t="s">
        <v>13</v>
      </c>
      <c r="E1443" s="1" t="s">
        <v>26</v>
      </c>
      <c r="F1443" s="1">
        <v>231</v>
      </c>
      <c r="G1443" s="1">
        <v>29.64</v>
      </c>
      <c r="H1443" s="1">
        <v>6846.84</v>
      </c>
      <c r="I1443" s="1">
        <v>4847</v>
      </c>
      <c r="J1443" s="1">
        <v>1999.84</v>
      </c>
      <c r="K1443" s="8" t="str">
        <f t="shared" si="22"/>
        <v>May</v>
      </c>
    </row>
    <row r="1444" spans="1:11">
      <c r="A1444" s="1" t="s">
        <v>1468</v>
      </c>
      <c r="B1444" s="2">
        <v>45781</v>
      </c>
      <c r="C1444" s="1" t="s">
        <v>22</v>
      </c>
      <c r="D1444" s="1" t="s">
        <v>13</v>
      </c>
      <c r="E1444" s="1" t="s">
        <v>26</v>
      </c>
      <c r="F1444" s="1">
        <v>247</v>
      </c>
      <c r="G1444" s="1">
        <v>28.16</v>
      </c>
      <c r="H1444" s="1">
        <v>6955.52</v>
      </c>
      <c r="I1444" s="1">
        <v>4910.8900000000003</v>
      </c>
      <c r="J1444" s="1">
        <v>2044.63</v>
      </c>
      <c r="K1444" s="8" t="str">
        <f t="shared" si="22"/>
        <v>May</v>
      </c>
    </row>
    <row r="1445" spans="1:11">
      <c r="A1445" s="1" t="s">
        <v>1469</v>
      </c>
      <c r="B1445" s="2">
        <v>45960</v>
      </c>
      <c r="C1445" s="1" t="s">
        <v>36</v>
      </c>
      <c r="D1445" s="1" t="s">
        <v>17</v>
      </c>
      <c r="E1445" s="1" t="s">
        <v>23</v>
      </c>
      <c r="F1445" s="1">
        <v>125</v>
      </c>
      <c r="G1445" s="1">
        <v>12.77</v>
      </c>
      <c r="H1445" s="1">
        <v>1596.25</v>
      </c>
      <c r="I1445" s="1">
        <v>1077.17</v>
      </c>
      <c r="J1445" s="1">
        <v>519.08000000000004</v>
      </c>
      <c r="K1445" s="8" t="str">
        <f t="shared" si="22"/>
        <v>Oct</v>
      </c>
    </row>
    <row r="1446" spans="1:11">
      <c r="A1446" s="1" t="s">
        <v>1470</v>
      </c>
      <c r="B1446" s="2">
        <v>45671</v>
      </c>
      <c r="C1446" s="1" t="s">
        <v>16</v>
      </c>
      <c r="D1446" s="1" t="s">
        <v>29</v>
      </c>
      <c r="E1446" s="1" t="s">
        <v>18</v>
      </c>
      <c r="F1446" s="1">
        <v>293</v>
      </c>
      <c r="G1446" s="1">
        <v>20.8</v>
      </c>
      <c r="H1446" s="1">
        <v>6094.4</v>
      </c>
      <c r="I1446" s="1">
        <v>4550.91</v>
      </c>
      <c r="J1446" s="1">
        <v>1543.49</v>
      </c>
      <c r="K1446" s="8" t="str">
        <f t="shared" si="22"/>
        <v>Jan</v>
      </c>
    </row>
    <row r="1447" spans="1:11">
      <c r="A1447" s="1" t="s">
        <v>1471</v>
      </c>
      <c r="B1447" s="2">
        <v>45894</v>
      </c>
      <c r="C1447" s="1" t="s">
        <v>16</v>
      </c>
      <c r="D1447" s="1" t="s">
        <v>29</v>
      </c>
      <c r="E1447" s="1" t="s">
        <v>18</v>
      </c>
      <c r="F1447" s="1">
        <v>105</v>
      </c>
      <c r="G1447" s="1">
        <v>22.35</v>
      </c>
      <c r="H1447" s="1">
        <v>2346.75</v>
      </c>
      <c r="I1447" s="1">
        <v>1731.9</v>
      </c>
      <c r="J1447" s="1">
        <v>614.85</v>
      </c>
      <c r="K1447" s="8" t="str">
        <f t="shared" si="22"/>
        <v>Aug</v>
      </c>
    </row>
    <row r="1448" spans="1:11">
      <c r="A1448" s="1" t="s">
        <v>1472</v>
      </c>
      <c r="B1448" s="2">
        <v>45979</v>
      </c>
      <c r="C1448" s="1" t="s">
        <v>16</v>
      </c>
      <c r="D1448" s="1" t="s">
        <v>29</v>
      </c>
      <c r="E1448" s="1" t="s">
        <v>26</v>
      </c>
      <c r="F1448" s="1">
        <v>57</v>
      </c>
      <c r="G1448" s="1">
        <v>26.29</v>
      </c>
      <c r="H1448" s="1">
        <v>1498.53</v>
      </c>
      <c r="I1448" s="1">
        <v>1005.05</v>
      </c>
      <c r="J1448" s="1">
        <v>493.48</v>
      </c>
      <c r="K1448" s="8" t="str">
        <f t="shared" si="22"/>
        <v>Nov</v>
      </c>
    </row>
    <row r="1449" spans="1:11">
      <c r="A1449" s="1" t="s">
        <v>1473</v>
      </c>
      <c r="B1449" s="2">
        <v>45927</v>
      </c>
      <c r="C1449" s="1" t="s">
        <v>12</v>
      </c>
      <c r="D1449" s="1" t="s">
        <v>13</v>
      </c>
      <c r="E1449" s="1" t="s">
        <v>14</v>
      </c>
      <c r="F1449" s="1">
        <v>286</v>
      </c>
      <c r="G1449" s="1">
        <v>32.630000000000003</v>
      </c>
      <c r="H1449" s="1">
        <v>9332.18</v>
      </c>
      <c r="I1449" s="1">
        <v>6893.35</v>
      </c>
      <c r="J1449" s="1">
        <v>2438.83</v>
      </c>
      <c r="K1449" s="8" t="str">
        <f t="shared" si="22"/>
        <v>Sep</v>
      </c>
    </row>
    <row r="1450" spans="1:11">
      <c r="A1450" s="1" t="s">
        <v>1474</v>
      </c>
      <c r="B1450" s="2">
        <v>45897</v>
      </c>
      <c r="C1450" s="1" t="s">
        <v>22</v>
      </c>
      <c r="D1450" s="1" t="s">
        <v>13</v>
      </c>
      <c r="E1450" s="1" t="s">
        <v>14</v>
      </c>
      <c r="F1450" s="1">
        <v>113</v>
      </c>
      <c r="G1450" s="1">
        <v>24.4</v>
      </c>
      <c r="H1450" s="1">
        <v>2757.2</v>
      </c>
      <c r="I1450" s="1">
        <v>2127.62</v>
      </c>
      <c r="J1450" s="1">
        <v>629.58000000000004</v>
      </c>
      <c r="K1450" s="8" t="str">
        <f t="shared" si="22"/>
        <v>Aug</v>
      </c>
    </row>
    <row r="1451" spans="1:11">
      <c r="A1451" s="1" t="s">
        <v>1475</v>
      </c>
      <c r="B1451" s="2">
        <v>45970</v>
      </c>
      <c r="C1451" s="1" t="s">
        <v>28</v>
      </c>
      <c r="D1451" s="1" t="s">
        <v>17</v>
      </c>
      <c r="E1451" s="1" t="s">
        <v>18</v>
      </c>
      <c r="F1451" s="1">
        <v>273</v>
      </c>
      <c r="G1451" s="1">
        <v>39.380000000000003</v>
      </c>
      <c r="H1451" s="1">
        <v>10750.74</v>
      </c>
      <c r="I1451" s="1">
        <v>6970.11</v>
      </c>
      <c r="J1451" s="1">
        <v>3780.63</v>
      </c>
      <c r="K1451" s="8" t="str">
        <f t="shared" si="22"/>
        <v>Nov</v>
      </c>
    </row>
    <row r="1452" spans="1:11">
      <c r="A1452" s="1" t="s">
        <v>1476</v>
      </c>
      <c r="B1452" s="2">
        <v>45858</v>
      </c>
      <c r="C1452" s="1" t="s">
        <v>28</v>
      </c>
      <c r="D1452" s="1" t="s">
        <v>17</v>
      </c>
      <c r="E1452" s="1" t="s">
        <v>33</v>
      </c>
      <c r="F1452" s="1">
        <v>16</v>
      </c>
      <c r="G1452" s="1">
        <v>22.59</v>
      </c>
      <c r="H1452" s="1">
        <v>361.44</v>
      </c>
      <c r="I1452" s="1">
        <v>233.03</v>
      </c>
      <c r="J1452" s="1">
        <v>128.41</v>
      </c>
      <c r="K1452" s="8" t="str">
        <f t="shared" si="22"/>
        <v>Jul</v>
      </c>
    </row>
    <row r="1453" spans="1:11">
      <c r="A1453" s="1" t="s">
        <v>1477</v>
      </c>
      <c r="B1453" s="2">
        <v>45898</v>
      </c>
      <c r="C1453" s="1" t="s">
        <v>16</v>
      </c>
      <c r="D1453" s="1" t="s">
        <v>13</v>
      </c>
      <c r="E1453" s="1" t="s">
        <v>14</v>
      </c>
      <c r="F1453" s="1">
        <v>195</v>
      </c>
      <c r="G1453" s="1">
        <v>35.729999999999997</v>
      </c>
      <c r="H1453" s="1">
        <v>6967.35</v>
      </c>
      <c r="I1453" s="1">
        <v>5224.3900000000003</v>
      </c>
      <c r="J1453" s="1">
        <v>1742.96</v>
      </c>
      <c r="K1453" s="8" t="str">
        <f t="shared" si="22"/>
        <v>Aug</v>
      </c>
    </row>
    <row r="1454" spans="1:11">
      <c r="A1454" s="1" t="s">
        <v>1478</v>
      </c>
      <c r="B1454" s="2">
        <v>45805</v>
      </c>
      <c r="C1454" s="1" t="s">
        <v>16</v>
      </c>
      <c r="D1454" s="1" t="s">
        <v>13</v>
      </c>
      <c r="E1454" s="1" t="s">
        <v>20</v>
      </c>
      <c r="F1454" s="1">
        <v>289</v>
      </c>
      <c r="G1454" s="1">
        <v>18.670000000000002</v>
      </c>
      <c r="H1454" s="1">
        <v>5395.63</v>
      </c>
      <c r="I1454" s="1">
        <v>3416.51</v>
      </c>
      <c r="J1454" s="1">
        <v>1979.12</v>
      </c>
      <c r="K1454" s="8" t="str">
        <f t="shared" si="22"/>
        <v>May</v>
      </c>
    </row>
    <row r="1455" spans="1:11">
      <c r="A1455" s="1" t="s">
        <v>1479</v>
      </c>
      <c r="B1455" s="2">
        <v>45840</v>
      </c>
      <c r="C1455" s="1" t="s">
        <v>22</v>
      </c>
      <c r="D1455" s="1" t="s">
        <v>13</v>
      </c>
      <c r="E1455" s="1" t="s">
        <v>33</v>
      </c>
      <c r="F1455" s="1">
        <v>88</v>
      </c>
      <c r="G1455" s="1">
        <v>37.78</v>
      </c>
      <c r="H1455" s="1">
        <v>3324.64</v>
      </c>
      <c r="I1455" s="1">
        <v>2054.88</v>
      </c>
      <c r="J1455" s="1">
        <v>1269.76</v>
      </c>
      <c r="K1455" s="8" t="str">
        <f t="shared" si="22"/>
        <v>Jul</v>
      </c>
    </row>
    <row r="1456" spans="1:11">
      <c r="A1456" s="1" t="s">
        <v>1480</v>
      </c>
      <c r="B1456" s="2">
        <v>45797</v>
      </c>
      <c r="C1456" s="1" t="s">
        <v>22</v>
      </c>
      <c r="D1456" s="1" t="s">
        <v>17</v>
      </c>
      <c r="E1456" s="1" t="s">
        <v>23</v>
      </c>
      <c r="F1456" s="1">
        <v>271</v>
      </c>
      <c r="G1456" s="1">
        <v>19.72</v>
      </c>
      <c r="H1456" s="1">
        <v>5344.12</v>
      </c>
      <c r="I1456" s="1">
        <v>3916.29</v>
      </c>
      <c r="J1456" s="1">
        <v>1427.83</v>
      </c>
      <c r="K1456" s="8" t="str">
        <f t="shared" si="22"/>
        <v>May</v>
      </c>
    </row>
    <row r="1457" spans="1:11">
      <c r="A1457" s="1" t="s">
        <v>1481</v>
      </c>
      <c r="B1457" s="2">
        <v>45777</v>
      </c>
      <c r="C1457" s="1" t="s">
        <v>36</v>
      </c>
      <c r="D1457" s="1" t="s">
        <v>29</v>
      </c>
      <c r="E1457" s="1" t="s">
        <v>26</v>
      </c>
      <c r="F1457" s="1">
        <v>66</v>
      </c>
      <c r="G1457" s="1">
        <v>13.38</v>
      </c>
      <c r="H1457" s="1">
        <v>883.08</v>
      </c>
      <c r="I1457" s="1">
        <v>621.67999999999995</v>
      </c>
      <c r="J1457" s="1">
        <v>261.39999999999998</v>
      </c>
      <c r="K1457" s="8" t="str">
        <f t="shared" si="22"/>
        <v>Apr</v>
      </c>
    </row>
    <row r="1458" spans="1:11">
      <c r="A1458" s="1" t="s">
        <v>1482</v>
      </c>
      <c r="B1458" s="2">
        <v>45938</v>
      </c>
      <c r="C1458" s="1" t="s">
        <v>12</v>
      </c>
      <c r="D1458" s="1" t="s">
        <v>13</v>
      </c>
      <c r="E1458" s="1" t="s">
        <v>23</v>
      </c>
      <c r="F1458" s="1">
        <v>238</v>
      </c>
      <c r="G1458" s="1">
        <v>19.28</v>
      </c>
      <c r="H1458" s="1">
        <v>4588.6400000000003</v>
      </c>
      <c r="I1458" s="1">
        <v>3436.62</v>
      </c>
      <c r="J1458" s="1">
        <v>1152.02</v>
      </c>
      <c r="K1458" s="8" t="str">
        <f t="shared" si="22"/>
        <v>Oct</v>
      </c>
    </row>
    <row r="1459" spans="1:11">
      <c r="A1459" s="1" t="s">
        <v>1483</v>
      </c>
      <c r="B1459" s="2">
        <v>45928</v>
      </c>
      <c r="C1459" s="1" t="s">
        <v>36</v>
      </c>
      <c r="D1459" s="1" t="s">
        <v>13</v>
      </c>
      <c r="E1459" s="1" t="s">
        <v>26</v>
      </c>
      <c r="F1459" s="1">
        <v>103</v>
      </c>
      <c r="G1459" s="1">
        <v>22.36</v>
      </c>
      <c r="H1459" s="1">
        <v>2303.08</v>
      </c>
      <c r="I1459" s="1">
        <v>1421.09</v>
      </c>
      <c r="J1459" s="1">
        <v>881.99</v>
      </c>
      <c r="K1459" s="8" t="str">
        <f t="shared" si="22"/>
        <v>Sep</v>
      </c>
    </row>
    <row r="1460" spans="1:11">
      <c r="A1460" s="1" t="s">
        <v>1484</v>
      </c>
      <c r="B1460" s="2">
        <v>45929</v>
      </c>
      <c r="C1460" s="1" t="s">
        <v>12</v>
      </c>
      <c r="D1460" s="1" t="s">
        <v>29</v>
      </c>
      <c r="E1460" s="1" t="s">
        <v>33</v>
      </c>
      <c r="F1460" s="1">
        <v>223</v>
      </c>
      <c r="G1460" s="1">
        <v>11.14</v>
      </c>
      <c r="H1460" s="1">
        <v>2484.2199999999998</v>
      </c>
      <c r="I1460" s="1">
        <v>1976.83</v>
      </c>
      <c r="J1460" s="1">
        <v>507.39</v>
      </c>
      <c r="K1460" s="8" t="str">
        <f t="shared" si="22"/>
        <v>Sep</v>
      </c>
    </row>
    <row r="1461" spans="1:11">
      <c r="A1461" s="1" t="s">
        <v>1485</v>
      </c>
      <c r="B1461" s="2">
        <v>45668</v>
      </c>
      <c r="C1461" s="1" t="s">
        <v>28</v>
      </c>
      <c r="D1461" s="1" t="s">
        <v>17</v>
      </c>
      <c r="E1461" s="1" t="s">
        <v>18</v>
      </c>
      <c r="F1461" s="1">
        <v>280</v>
      </c>
      <c r="G1461" s="1">
        <v>18.329999999999998</v>
      </c>
      <c r="H1461" s="1">
        <v>5132.3999999999996</v>
      </c>
      <c r="I1461" s="1">
        <v>3714.54</v>
      </c>
      <c r="J1461" s="1">
        <v>1417.86</v>
      </c>
      <c r="K1461" s="8" t="str">
        <f t="shared" si="22"/>
        <v>Jan</v>
      </c>
    </row>
    <row r="1462" spans="1:11">
      <c r="A1462" s="1" t="s">
        <v>1486</v>
      </c>
      <c r="B1462" s="2">
        <v>45696</v>
      </c>
      <c r="C1462" s="1" t="s">
        <v>28</v>
      </c>
      <c r="D1462" s="1" t="s">
        <v>13</v>
      </c>
      <c r="E1462" s="1" t="s">
        <v>26</v>
      </c>
      <c r="F1462" s="1">
        <v>281</v>
      </c>
      <c r="G1462" s="1">
        <v>31.25</v>
      </c>
      <c r="H1462" s="1">
        <v>8781.25</v>
      </c>
      <c r="I1462" s="1">
        <v>5535.48</v>
      </c>
      <c r="J1462" s="1">
        <v>3245.77</v>
      </c>
      <c r="K1462" s="8" t="str">
        <f t="shared" si="22"/>
        <v>Feb</v>
      </c>
    </row>
    <row r="1463" spans="1:11">
      <c r="A1463" s="1" t="s">
        <v>1487</v>
      </c>
      <c r="B1463" s="2">
        <v>45818</v>
      </c>
      <c r="C1463" s="1" t="s">
        <v>22</v>
      </c>
      <c r="D1463" s="1" t="s">
        <v>13</v>
      </c>
      <c r="E1463" s="1" t="s">
        <v>26</v>
      </c>
      <c r="F1463" s="1">
        <v>197</v>
      </c>
      <c r="G1463" s="1">
        <v>37.380000000000003</v>
      </c>
      <c r="H1463" s="1">
        <v>7363.86</v>
      </c>
      <c r="I1463" s="1">
        <v>5243.42</v>
      </c>
      <c r="J1463" s="1">
        <v>2120.44</v>
      </c>
      <c r="K1463" s="8" t="str">
        <f t="shared" si="22"/>
        <v>Jun</v>
      </c>
    </row>
    <row r="1464" spans="1:11">
      <c r="A1464" s="1" t="s">
        <v>1488</v>
      </c>
      <c r="B1464" s="2">
        <v>45675</v>
      </c>
      <c r="C1464" s="1" t="s">
        <v>16</v>
      </c>
      <c r="D1464" s="1" t="s">
        <v>29</v>
      </c>
      <c r="E1464" s="1" t="s">
        <v>26</v>
      </c>
      <c r="F1464" s="1">
        <v>38</v>
      </c>
      <c r="G1464" s="1">
        <v>14.84</v>
      </c>
      <c r="H1464" s="1">
        <v>563.91999999999996</v>
      </c>
      <c r="I1464" s="1">
        <v>423.18</v>
      </c>
      <c r="J1464" s="1">
        <v>140.74</v>
      </c>
      <c r="K1464" s="8" t="str">
        <f t="shared" si="22"/>
        <v>Jan</v>
      </c>
    </row>
    <row r="1465" spans="1:11">
      <c r="A1465" s="1" t="s">
        <v>1489</v>
      </c>
      <c r="B1465" s="2">
        <v>45766</v>
      </c>
      <c r="C1465" s="1" t="s">
        <v>22</v>
      </c>
      <c r="D1465" s="1" t="s">
        <v>17</v>
      </c>
      <c r="E1465" s="1" t="s">
        <v>18</v>
      </c>
      <c r="F1465" s="1">
        <v>193</v>
      </c>
      <c r="G1465" s="1">
        <v>19.41</v>
      </c>
      <c r="H1465" s="1">
        <v>3746.13</v>
      </c>
      <c r="I1465" s="1">
        <v>2626.3</v>
      </c>
      <c r="J1465" s="1">
        <v>1119.83</v>
      </c>
      <c r="K1465" s="8" t="str">
        <f t="shared" si="22"/>
        <v>Apr</v>
      </c>
    </row>
    <row r="1466" spans="1:11">
      <c r="A1466" s="1" t="s">
        <v>1490</v>
      </c>
      <c r="B1466" s="2">
        <v>45715</v>
      </c>
      <c r="C1466" s="1" t="s">
        <v>16</v>
      </c>
      <c r="D1466" s="1" t="s">
        <v>13</v>
      </c>
      <c r="E1466" s="1" t="s">
        <v>18</v>
      </c>
      <c r="F1466" s="1">
        <v>262</v>
      </c>
      <c r="G1466" s="1">
        <v>33.4</v>
      </c>
      <c r="H1466" s="1">
        <v>8750.7999999999993</v>
      </c>
      <c r="I1466" s="1">
        <v>6145.08</v>
      </c>
      <c r="J1466" s="1">
        <v>2605.7199999999998</v>
      </c>
      <c r="K1466" s="8" t="str">
        <f t="shared" si="22"/>
        <v>Feb</v>
      </c>
    </row>
    <row r="1467" spans="1:11">
      <c r="A1467" s="1" t="s">
        <v>1491</v>
      </c>
      <c r="B1467" s="2">
        <v>45691</v>
      </c>
      <c r="C1467" s="1" t="s">
        <v>22</v>
      </c>
      <c r="D1467" s="1" t="s">
        <v>13</v>
      </c>
      <c r="E1467" s="1" t="s">
        <v>14</v>
      </c>
      <c r="F1467" s="1">
        <v>130</v>
      </c>
      <c r="G1467" s="1">
        <v>26.95</v>
      </c>
      <c r="H1467" s="1">
        <v>3503.5</v>
      </c>
      <c r="I1467" s="1">
        <v>2471.29</v>
      </c>
      <c r="J1467" s="1">
        <v>1032.21</v>
      </c>
      <c r="K1467" s="8" t="str">
        <f t="shared" si="22"/>
        <v>Feb</v>
      </c>
    </row>
    <row r="1468" spans="1:11">
      <c r="A1468" s="1" t="s">
        <v>1492</v>
      </c>
      <c r="B1468" s="2">
        <v>45721</v>
      </c>
      <c r="C1468" s="1" t="s">
        <v>16</v>
      </c>
      <c r="D1468" s="1" t="s">
        <v>17</v>
      </c>
      <c r="E1468" s="1" t="s">
        <v>26</v>
      </c>
      <c r="F1468" s="1">
        <v>122</v>
      </c>
      <c r="G1468" s="1">
        <v>31.63</v>
      </c>
      <c r="H1468" s="1">
        <v>3858.86</v>
      </c>
      <c r="I1468" s="1">
        <v>2573.09</v>
      </c>
      <c r="J1468" s="1">
        <v>1285.77</v>
      </c>
      <c r="K1468" s="8" t="str">
        <f t="shared" si="22"/>
        <v>Mar</v>
      </c>
    </row>
    <row r="1469" spans="1:11">
      <c r="A1469" s="1" t="s">
        <v>1493</v>
      </c>
      <c r="B1469" s="2">
        <v>45846</v>
      </c>
      <c r="C1469" s="1" t="s">
        <v>12</v>
      </c>
      <c r="D1469" s="1" t="s">
        <v>17</v>
      </c>
      <c r="E1469" s="1" t="s">
        <v>33</v>
      </c>
      <c r="F1469" s="1">
        <v>195</v>
      </c>
      <c r="G1469" s="1">
        <v>12.62</v>
      </c>
      <c r="H1469" s="1">
        <v>2460.9</v>
      </c>
      <c r="I1469" s="1">
        <v>1893.49</v>
      </c>
      <c r="J1469" s="1">
        <v>567.41</v>
      </c>
      <c r="K1469" s="8" t="str">
        <f t="shared" si="22"/>
        <v>Jul</v>
      </c>
    </row>
    <row r="1470" spans="1:11">
      <c r="A1470" s="1" t="s">
        <v>1494</v>
      </c>
      <c r="B1470" s="2">
        <v>45780</v>
      </c>
      <c r="C1470" s="1" t="s">
        <v>31</v>
      </c>
      <c r="D1470" s="1" t="s">
        <v>13</v>
      </c>
      <c r="E1470" s="1" t="s">
        <v>20</v>
      </c>
      <c r="F1470" s="1">
        <v>217</v>
      </c>
      <c r="G1470" s="1">
        <v>27.78</v>
      </c>
      <c r="H1470" s="1">
        <v>6028.26</v>
      </c>
      <c r="I1470" s="1">
        <v>4769.34</v>
      </c>
      <c r="J1470" s="1">
        <v>1258.92</v>
      </c>
      <c r="K1470" s="8" t="str">
        <f t="shared" si="22"/>
        <v>May</v>
      </c>
    </row>
    <row r="1471" spans="1:11">
      <c r="A1471" s="1" t="s">
        <v>1495</v>
      </c>
      <c r="B1471" s="2">
        <v>45811</v>
      </c>
      <c r="C1471" s="1" t="s">
        <v>31</v>
      </c>
      <c r="D1471" s="1" t="s">
        <v>29</v>
      </c>
      <c r="E1471" s="1" t="s">
        <v>26</v>
      </c>
      <c r="F1471" s="1">
        <v>18</v>
      </c>
      <c r="G1471" s="1">
        <v>14.48</v>
      </c>
      <c r="H1471" s="1">
        <v>260.64</v>
      </c>
      <c r="I1471" s="1">
        <v>198.87</v>
      </c>
      <c r="J1471" s="1">
        <v>61.77</v>
      </c>
      <c r="K1471" s="8" t="str">
        <f t="shared" si="22"/>
        <v>Jun</v>
      </c>
    </row>
    <row r="1472" spans="1:11">
      <c r="A1472" s="1" t="s">
        <v>1496</v>
      </c>
      <c r="B1472" s="2">
        <v>45826</v>
      </c>
      <c r="C1472" s="1" t="s">
        <v>36</v>
      </c>
      <c r="D1472" s="1" t="s">
        <v>13</v>
      </c>
      <c r="E1472" s="1" t="s">
        <v>23</v>
      </c>
      <c r="F1472" s="1">
        <v>13</v>
      </c>
      <c r="G1472" s="1">
        <v>24.31</v>
      </c>
      <c r="H1472" s="1">
        <v>316.02999999999997</v>
      </c>
      <c r="I1472" s="1">
        <v>219.76</v>
      </c>
      <c r="J1472" s="1">
        <v>96.27</v>
      </c>
      <c r="K1472" s="8" t="str">
        <f t="shared" si="22"/>
        <v>Jun</v>
      </c>
    </row>
    <row r="1473" spans="1:11">
      <c r="A1473" s="1" t="s">
        <v>1497</v>
      </c>
      <c r="B1473" s="2">
        <v>45737</v>
      </c>
      <c r="C1473" s="1" t="s">
        <v>28</v>
      </c>
      <c r="D1473" s="1" t="s">
        <v>13</v>
      </c>
      <c r="E1473" s="1" t="s">
        <v>20</v>
      </c>
      <c r="F1473" s="1">
        <v>142</v>
      </c>
      <c r="G1473" s="1">
        <v>37.32</v>
      </c>
      <c r="H1473" s="1">
        <v>5299.44</v>
      </c>
      <c r="I1473" s="1">
        <v>3921.45</v>
      </c>
      <c r="J1473" s="1">
        <v>1377.99</v>
      </c>
      <c r="K1473" s="8" t="str">
        <f t="shared" si="22"/>
        <v>Mar</v>
      </c>
    </row>
    <row r="1474" spans="1:11">
      <c r="A1474" s="1" t="s">
        <v>1498</v>
      </c>
      <c r="B1474" s="2">
        <v>45776</v>
      </c>
      <c r="C1474" s="1" t="s">
        <v>16</v>
      </c>
      <c r="D1474" s="1" t="s">
        <v>29</v>
      </c>
      <c r="E1474" s="1" t="s">
        <v>14</v>
      </c>
      <c r="F1474" s="1">
        <v>248</v>
      </c>
      <c r="G1474" s="1">
        <v>36.840000000000003</v>
      </c>
      <c r="H1474" s="1">
        <v>9136.32</v>
      </c>
      <c r="I1474" s="1">
        <v>6146.13</v>
      </c>
      <c r="J1474" s="1">
        <v>2990.19</v>
      </c>
      <c r="K1474" s="8" t="str">
        <f t="shared" ref="K1474:K1537" si="23">TEXT(B1474,"mmm")</f>
        <v>Apr</v>
      </c>
    </row>
    <row r="1475" spans="1:11">
      <c r="A1475" s="1" t="s">
        <v>1499</v>
      </c>
      <c r="B1475" s="2">
        <v>45794</v>
      </c>
      <c r="C1475" s="1" t="s">
        <v>36</v>
      </c>
      <c r="D1475" s="1" t="s">
        <v>29</v>
      </c>
      <c r="E1475" s="1" t="s">
        <v>26</v>
      </c>
      <c r="F1475" s="1">
        <v>293</v>
      </c>
      <c r="G1475" s="1">
        <v>32.6</v>
      </c>
      <c r="H1475" s="1">
        <v>9551.7999999999993</v>
      </c>
      <c r="I1475" s="1">
        <v>7585.51</v>
      </c>
      <c r="J1475" s="1">
        <v>1966.29</v>
      </c>
      <c r="K1475" s="8" t="str">
        <f t="shared" si="23"/>
        <v>May</v>
      </c>
    </row>
    <row r="1476" spans="1:11">
      <c r="A1476" s="1" t="s">
        <v>1500</v>
      </c>
      <c r="B1476" s="2">
        <v>46018</v>
      </c>
      <c r="C1476" s="1" t="s">
        <v>31</v>
      </c>
      <c r="D1476" s="1" t="s">
        <v>29</v>
      </c>
      <c r="E1476" s="1" t="s">
        <v>23</v>
      </c>
      <c r="F1476" s="1">
        <v>275</v>
      </c>
      <c r="G1476" s="1">
        <v>38.82</v>
      </c>
      <c r="H1476" s="1">
        <v>10675.5</v>
      </c>
      <c r="I1476" s="1">
        <v>7409</v>
      </c>
      <c r="J1476" s="1">
        <v>3266.5</v>
      </c>
      <c r="K1476" s="8" t="str">
        <f t="shared" si="23"/>
        <v>Dec</v>
      </c>
    </row>
    <row r="1477" spans="1:11">
      <c r="A1477" s="1" t="s">
        <v>1501</v>
      </c>
      <c r="B1477" s="2">
        <v>45976</v>
      </c>
      <c r="C1477" s="1" t="s">
        <v>22</v>
      </c>
      <c r="D1477" s="1" t="s">
        <v>17</v>
      </c>
      <c r="E1477" s="1" t="s">
        <v>14</v>
      </c>
      <c r="F1477" s="1">
        <v>238</v>
      </c>
      <c r="G1477" s="1">
        <v>12.18</v>
      </c>
      <c r="H1477" s="1">
        <v>2898.84</v>
      </c>
      <c r="I1477" s="1">
        <v>2213.9899999999998</v>
      </c>
      <c r="J1477" s="1">
        <v>684.85</v>
      </c>
      <c r="K1477" s="8" t="str">
        <f t="shared" si="23"/>
        <v>Nov</v>
      </c>
    </row>
    <row r="1478" spans="1:11">
      <c r="A1478" s="1" t="s">
        <v>1502</v>
      </c>
      <c r="B1478" s="2">
        <v>46022</v>
      </c>
      <c r="C1478" s="1" t="s">
        <v>16</v>
      </c>
      <c r="D1478" s="1" t="s">
        <v>17</v>
      </c>
      <c r="E1478" s="1" t="s">
        <v>20</v>
      </c>
      <c r="F1478" s="1">
        <v>66</v>
      </c>
      <c r="G1478" s="1">
        <v>35.81</v>
      </c>
      <c r="H1478" s="1">
        <v>2363.46</v>
      </c>
      <c r="I1478" s="1">
        <v>1834.96</v>
      </c>
      <c r="J1478" s="1">
        <v>528.5</v>
      </c>
      <c r="K1478" s="8" t="str">
        <f t="shared" si="23"/>
        <v>Dec</v>
      </c>
    </row>
    <row r="1479" spans="1:11">
      <c r="A1479" s="1" t="s">
        <v>1503</v>
      </c>
      <c r="B1479" s="2">
        <v>45674</v>
      </c>
      <c r="C1479" s="1" t="s">
        <v>31</v>
      </c>
      <c r="D1479" s="1" t="s">
        <v>29</v>
      </c>
      <c r="E1479" s="1" t="s">
        <v>20</v>
      </c>
      <c r="F1479" s="1">
        <v>286</v>
      </c>
      <c r="G1479" s="1">
        <v>30.6</v>
      </c>
      <c r="H1479" s="1">
        <v>8751.6</v>
      </c>
      <c r="I1479" s="1">
        <v>6066</v>
      </c>
      <c r="J1479" s="1">
        <v>2685.6</v>
      </c>
      <c r="K1479" s="8" t="str">
        <f t="shared" si="23"/>
        <v>Jan</v>
      </c>
    </row>
    <row r="1480" spans="1:11">
      <c r="A1480" s="1" t="s">
        <v>1504</v>
      </c>
      <c r="B1480" s="2">
        <v>45927</v>
      </c>
      <c r="C1480" s="1" t="s">
        <v>12</v>
      </c>
      <c r="D1480" s="1" t="s">
        <v>13</v>
      </c>
      <c r="E1480" s="1" t="s">
        <v>14</v>
      </c>
      <c r="F1480" s="1">
        <v>214</v>
      </c>
      <c r="G1480" s="1">
        <v>28.54</v>
      </c>
      <c r="H1480" s="1">
        <v>6107.56</v>
      </c>
      <c r="I1480" s="1">
        <v>4297.04</v>
      </c>
      <c r="J1480" s="1">
        <v>1810.52</v>
      </c>
      <c r="K1480" s="8" t="str">
        <f t="shared" si="23"/>
        <v>Sep</v>
      </c>
    </row>
    <row r="1481" spans="1:11">
      <c r="A1481" s="1" t="s">
        <v>1505</v>
      </c>
      <c r="B1481" s="2">
        <v>45911</v>
      </c>
      <c r="C1481" s="1" t="s">
        <v>36</v>
      </c>
      <c r="D1481" s="1" t="s">
        <v>13</v>
      </c>
      <c r="E1481" s="1" t="s">
        <v>23</v>
      </c>
      <c r="F1481" s="1">
        <v>91</v>
      </c>
      <c r="G1481" s="1">
        <v>35.380000000000003</v>
      </c>
      <c r="H1481" s="1">
        <v>3219.58</v>
      </c>
      <c r="I1481" s="1">
        <v>2380.81</v>
      </c>
      <c r="J1481" s="1">
        <v>838.77</v>
      </c>
      <c r="K1481" s="8" t="str">
        <f t="shared" si="23"/>
        <v>Sep</v>
      </c>
    </row>
    <row r="1482" spans="1:11">
      <c r="A1482" s="1" t="s">
        <v>1506</v>
      </c>
      <c r="B1482" s="2">
        <v>45984</v>
      </c>
      <c r="C1482" s="1" t="s">
        <v>28</v>
      </c>
      <c r="D1482" s="1" t="s">
        <v>17</v>
      </c>
      <c r="E1482" s="1" t="s">
        <v>18</v>
      </c>
      <c r="F1482" s="1">
        <v>102</v>
      </c>
      <c r="G1482" s="1">
        <v>29.99</v>
      </c>
      <c r="H1482" s="1">
        <v>3058.98</v>
      </c>
      <c r="I1482" s="1">
        <v>1839.87</v>
      </c>
      <c r="J1482" s="1">
        <v>1219.1099999999999</v>
      </c>
      <c r="K1482" s="8" t="str">
        <f t="shared" si="23"/>
        <v>Nov</v>
      </c>
    </row>
    <row r="1483" spans="1:11">
      <c r="A1483" s="1" t="s">
        <v>1507</v>
      </c>
      <c r="B1483" s="2">
        <v>45763</v>
      </c>
      <c r="C1483" s="1" t="s">
        <v>31</v>
      </c>
      <c r="D1483" s="1" t="s">
        <v>17</v>
      </c>
      <c r="E1483" s="1" t="s">
        <v>20</v>
      </c>
      <c r="F1483" s="1">
        <v>189</v>
      </c>
      <c r="G1483" s="1">
        <v>24.02</v>
      </c>
      <c r="H1483" s="1">
        <v>4539.78</v>
      </c>
      <c r="I1483" s="1">
        <v>2794.25</v>
      </c>
      <c r="J1483" s="1">
        <v>1745.53</v>
      </c>
      <c r="K1483" s="8" t="str">
        <f t="shared" si="23"/>
        <v>Apr</v>
      </c>
    </row>
    <row r="1484" spans="1:11">
      <c r="A1484" s="1" t="s">
        <v>1508</v>
      </c>
      <c r="B1484" s="2">
        <v>45674</v>
      </c>
      <c r="C1484" s="1" t="s">
        <v>22</v>
      </c>
      <c r="D1484" s="1" t="s">
        <v>17</v>
      </c>
      <c r="E1484" s="1" t="s">
        <v>23</v>
      </c>
      <c r="F1484" s="1">
        <v>162</v>
      </c>
      <c r="G1484" s="1">
        <v>33.96</v>
      </c>
      <c r="H1484" s="1">
        <v>5501.52</v>
      </c>
      <c r="I1484" s="1">
        <v>4178.9399999999996</v>
      </c>
      <c r="J1484" s="1">
        <v>1322.58</v>
      </c>
      <c r="K1484" s="8" t="str">
        <f t="shared" si="23"/>
        <v>Jan</v>
      </c>
    </row>
    <row r="1485" spans="1:11">
      <c r="A1485" s="1" t="s">
        <v>1509</v>
      </c>
      <c r="B1485" s="2">
        <v>45880</v>
      </c>
      <c r="C1485" s="1" t="s">
        <v>12</v>
      </c>
      <c r="D1485" s="1" t="s">
        <v>17</v>
      </c>
      <c r="E1485" s="1" t="s">
        <v>33</v>
      </c>
      <c r="F1485" s="1">
        <v>200</v>
      </c>
      <c r="G1485" s="1">
        <v>25.9</v>
      </c>
      <c r="H1485" s="1">
        <v>5180</v>
      </c>
      <c r="I1485" s="1">
        <v>3796.94</v>
      </c>
      <c r="J1485" s="1">
        <v>1383.06</v>
      </c>
      <c r="K1485" s="8" t="str">
        <f t="shared" si="23"/>
        <v>Aug</v>
      </c>
    </row>
    <row r="1486" spans="1:11">
      <c r="A1486" s="1" t="s">
        <v>1510</v>
      </c>
      <c r="B1486" s="2">
        <v>45663</v>
      </c>
      <c r="C1486" s="1" t="s">
        <v>28</v>
      </c>
      <c r="D1486" s="1" t="s">
        <v>13</v>
      </c>
      <c r="E1486" s="1" t="s">
        <v>26</v>
      </c>
      <c r="F1486" s="1">
        <v>66</v>
      </c>
      <c r="G1486" s="1">
        <v>12.62</v>
      </c>
      <c r="H1486" s="1">
        <v>832.92</v>
      </c>
      <c r="I1486" s="1">
        <v>620.49</v>
      </c>
      <c r="J1486" s="1">
        <v>212.43</v>
      </c>
      <c r="K1486" s="8" t="str">
        <f t="shared" si="23"/>
        <v>Jan</v>
      </c>
    </row>
    <row r="1487" spans="1:11">
      <c r="A1487" s="1" t="s">
        <v>1511</v>
      </c>
      <c r="B1487" s="2">
        <v>45785</v>
      </c>
      <c r="C1487" s="1" t="s">
        <v>22</v>
      </c>
      <c r="D1487" s="1" t="s">
        <v>29</v>
      </c>
      <c r="E1487" s="1" t="s">
        <v>33</v>
      </c>
      <c r="F1487" s="1">
        <v>296</v>
      </c>
      <c r="G1487" s="1">
        <v>38.729999999999997</v>
      </c>
      <c r="H1487" s="1">
        <v>11464.08</v>
      </c>
      <c r="I1487" s="1">
        <v>8433.75</v>
      </c>
      <c r="J1487" s="1">
        <v>3030.33</v>
      </c>
      <c r="K1487" s="8" t="str">
        <f t="shared" si="23"/>
        <v>May</v>
      </c>
    </row>
    <row r="1488" spans="1:11">
      <c r="A1488" s="1" t="s">
        <v>1512</v>
      </c>
      <c r="B1488" s="2">
        <v>45820</v>
      </c>
      <c r="C1488" s="1" t="s">
        <v>16</v>
      </c>
      <c r="D1488" s="1" t="s">
        <v>13</v>
      </c>
      <c r="E1488" s="1" t="s">
        <v>23</v>
      </c>
      <c r="F1488" s="1">
        <v>279</v>
      </c>
      <c r="G1488" s="1">
        <v>37.07</v>
      </c>
      <c r="H1488" s="1">
        <v>10342.530000000001</v>
      </c>
      <c r="I1488" s="1">
        <v>7707.87</v>
      </c>
      <c r="J1488" s="1">
        <v>2634.66</v>
      </c>
      <c r="K1488" s="8" t="str">
        <f t="shared" si="23"/>
        <v>Jun</v>
      </c>
    </row>
    <row r="1489" spans="1:11">
      <c r="A1489" s="1" t="s">
        <v>1513</v>
      </c>
      <c r="B1489" s="2">
        <v>45783</v>
      </c>
      <c r="C1489" s="1" t="s">
        <v>36</v>
      </c>
      <c r="D1489" s="1" t="s">
        <v>17</v>
      </c>
      <c r="E1489" s="1" t="s">
        <v>23</v>
      </c>
      <c r="F1489" s="1">
        <v>184</v>
      </c>
      <c r="G1489" s="1">
        <v>16.84</v>
      </c>
      <c r="H1489" s="1">
        <v>3098.56</v>
      </c>
      <c r="I1489" s="1">
        <v>2394.63</v>
      </c>
      <c r="J1489" s="1">
        <v>703.93</v>
      </c>
      <c r="K1489" s="8" t="str">
        <f t="shared" si="23"/>
        <v>May</v>
      </c>
    </row>
    <row r="1490" spans="1:11">
      <c r="A1490" s="1" t="s">
        <v>1514</v>
      </c>
      <c r="B1490" s="2">
        <v>45748</v>
      </c>
      <c r="C1490" s="1" t="s">
        <v>16</v>
      </c>
      <c r="D1490" s="1" t="s">
        <v>13</v>
      </c>
      <c r="E1490" s="1" t="s">
        <v>23</v>
      </c>
      <c r="F1490" s="1">
        <v>78</v>
      </c>
      <c r="G1490" s="1">
        <v>12.76</v>
      </c>
      <c r="H1490" s="1">
        <v>995.28</v>
      </c>
      <c r="I1490" s="1">
        <v>779.43</v>
      </c>
      <c r="J1490" s="1">
        <v>215.85</v>
      </c>
      <c r="K1490" s="8" t="str">
        <f t="shared" si="23"/>
        <v>Apr</v>
      </c>
    </row>
    <row r="1491" spans="1:11">
      <c r="A1491" s="1" t="s">
        <v>1515</v>
      </c>
      <c r="B1491" s="2">
        <v>45680</v>
      </c>
      <c r="C1491" s="1" t="s">
        <v>36</v>
      </c>
      <c r="D1491" s="1" t="s">
        <v>13</v>
      </c>
      <c r="E1491" s="1" t="s">
        <v>14</v>
      </c>
      <c r="F1491" s="1">
        <v>69</v>
      </c>
      <c r="G1491" s="1">
        <v>23.5</v>
      </c>
      <c r="H1491" s="1">
        <v>1621.5</v>
      </c>
      <c r="I1491" s="1">
        <v>1016.31</v>
      </c>
      <c r="J1491" s="1">
        <v>605.19000000000005</v>
      </c>
      <c r="K1491" s="8" t="str">
        <f t="shared" si="23"/>
        <v>Jan</v>
      </c>
    </row>
    <row r="1492" spans="1:11">
      <c r="A1492" s="1" t="s">
        <v>1516</v>
      </c>
      <c r="B1492" s="2">
        <v>45819</v>
      </c>
      <c r="C1492" s="1" t="s">
        <v>12</v>
      </c>
      <c r="D1492" s="1" t="s">
        <v>17</v>
      </c>
      <c r="E1492" s="1" t="s">
        <v>23</v>
      </c>
      <c r="F1492" s="1">
        <v>287</v>
      </c>
      <c r="G1492" s="1">
        <v>27.27</v>
      </c>
      <c r="H1492" s="1">
        <v>7826.49</v>
      </c>
      <c r="I1492" s="1">
        <v>4777.6499999999996</v>
      </c>
      <c r="J1492" s="1">
        <v>3048.84</v>
      </c>
      <c r="K1492" s="8" t="str">
        <f t="shared" si="23"/>
        <v>Jun</v>
      </c>
    </row>
    <row r="1493" spans="1:11">
      <c r="A1493" s="1" t="s">
        <v>1517</v>
      </c>
      <c r="B1493" s="2">
        <v>45966</v>
      </c>
      <c r="C1493" s="1" t="s">
        <v>36</v>
      </c>
      <c r="D1493" s="1" t="s">
        <v>17</v>
      </c>
      <c r="E1493" s="1" t="s">
        <v>14</v>
      </c>
      <c r="F1493" s="1">
        <v>142</v>
      </c>
      <c r="G1493" s="1">
        <v>18.78</v>
      </c>
      <c r="H1493" s="1">
        <v>2666.76</v>
      </c>
      <c r="I1493" s="1">
        <v>2133</v>
      </c>
      <c r="J1493" s="1">
        <v>533.76</v>
      </c>
      <c r="K1493" s="8" t="str">
        <f t="shared" si="23"/>
        <v>Nov</v>
      </c>
    </row>
    <row r="1494" spans="1:11">
      <c r="A1494" s="1" t="s">
        <v>1518</v>
      </c>
      <c r="B1494" s="2">
        <v>45991</v>
      </c>
      <c r="C1494" s="1" t="s">
        <v>36</v>
      </c>
      <c r="D1494" s="1" t="s">
        <v>29</v>
      </c>
      <c r="E1494" s="1" t="s">
        <v>23</v>
      </c>
      <c r="F1494" s="1">
        <v>71</v>
      </c>
      <c r="G1494" s="1">
        <v>15.46</v>
      </c>
      <c r="H1494" s="1">
        <v>1097.6600000000001</v>
      </c>
      <c r="I1494" s="1">
        <v>876</v>
      </c>
      <c r="J1494" s="1">
        <v>221.66</v>
      </c>
      <c r="K1494" s="8" t="str">
        <f t="shared" si="23"/>
        <v>Nov</v>
      </c>
    </row>
    <row r="1495" spans="1:11">
      <c r="A1495" s="1" t="s">
        <v>1519</v>
      </c>
      <c r="B1495" s="2">
        <v>45712</v>
      </c>
      <c r="C1495" s="1" t="s">
        <v>31</v>
      </c>
      <c r="D1495" s="1" t="s">
        <v>29</v>
      </c>
      <c r="E1495" s="1" t="s">
        <v>26</v>
      </c>
      <c r="F1495" s="1">
        <v>157</v>
      </c>
      <c r="G1495" s="1">
        <v>27.94</v>
      </c>
      <c r="H1495" s="1">
        <v>4386.58</v>
      </c>
      <c r="I1495" s="1">
        <v>3321.4</v>
      </c>
      <c r="J1495" s="1">
        <v>1065.18</v>
      </c>
      <c r="K1495" s="8" t="str">
        <f t="shared" si="23"/>
        <v>Feb</v>
      </c>
    </row>
    <row r="1496" spans="1:11">
      <c r="A1496" s="1" t="s">
        <v>1520</v>
      </c>
      <c r="B1496" s="2">
        <v>45712</v>
      </c>
      <c r="C1496" s="1" t="s">
        <v>28</v>
      </c>
      <c r="D1496" s="1" t="s">
        <v>17</v>
      </c>
      <c r="E1496" s="1" t="s">
        <v>18</v>
      </c>
      <c r="F1496" s="1">
        <v>254</v>
      </c>
      <c r="G1496" s="1">
        <v>36.409999999999997</v>
      </c>
      <c r="H1496" s="1">
        <v>9248.14</v>
      </c>
      <c r="I1496" s="1">
        <v>6607.83</v>
      </c>
      <c r="J1496" s="1">
        <v>2640.31</v>
      </c>
      <c r="K1496" s="8" t="str">
        <f t="shared" si="23"/>
        <v>Feb</v>
      </c>
    </row>
    <row r="1497" spans="1:11">
      <c r="A1497" s="1" t="s">
        <v>1521</v>
      </c>
      <c r="B1497" s="2">
        <v>45725</v>
      </c>
      <c r="C1497" s="1" t="s">
        <v>28</v>
      </c>
      <c r="D1497" s="1" t="s">
        <v>17</v>
      </c>
      <c r="E1497" s="1" t="s">
        <v>14</v>
      </c>
      <c r="F1497" s="1">
        <v>285</v>
      </c>
      <c r="G1497" s="1">
        <v>34.35</v>
      </c>
      <c r="H1497" s="1">
        <v>9789.75</v>
      </c>
      <c r="I1497" s="1">
        <v>7214.22</v>
      </c>
      <c r="J1497" s="1">
        <v>2575.5300000000002</v>
      </c>
      <c r="K1497" s="8" t="str">
        <f t="shared" si="23"/>
        <v>Mar</v>
      </c>
    </row>
    <row r="1498" spans="1:11">
      <c r="A1498" s="1" t="s">
        <v>1522</v>
      </c>
      <c r="B1498" s="2">
        <v>45798</v>
      </c>
      <c r="C1498" s="1" t="s">
        <v>16</v>
      </c>
      <c r="D1498" s="1" t="s">
        <v>13</v>
      </c>
      <c r="E1498" s="1" t="s">
        <v>20</v>
      </c>
      <c r="F1498" s="1">
        <v>104</v>
      </c>
      <c r="G1498" s="1">
        <v>29.09</v>
      </c>
      <c r="H1498" s="1">
        <v>3025.36</v>
      </c>
      <c r="I1498" s="1">
        <v>2141.54</v>
      </c>
      <c r="J1498" s="1">
        <v>883.82</v>
      </c>
      <c r="K1498" s="8" t="str">
        <f t="shared" si="23"/>
        <v>May</v>
      </c>
    </row>
    <row r="1499" spans="1:11">
      <c r="A1499" s="1" t="s">
        <v>1523</v>
      </c>
      <c r="B1499" s="2">
        <v>46018</v>
      </c>
      <c r="C1499" s="1" t="s">
        <v>12</v>
      </c>
      <c r="D1499" s="1" t="s">
        <v>17</v>
      </c>
      <c r="E1499" s="1" t="s">
        <v>14</v>
      </c>
      <c r="F1499" s="1">
        <v>194</v>
      </c>
      <c r="G1499" s="1">
        <v>10.49</v>
      </c>
      <c r="H1499" s="1">
        <v>2035.06</v>
      </c>
      <c r="I1499" s="1">
        <v>1567.05</v>
      </c>
      <c r="J1499" s="1">
        <v>468.01</v>
      </c>
      <c r="K1499" s="8" t="str">
        <f t="shared" si="23"/>
        <v>Dec</v>
      </c>
    </row>
    <row r="1500" spans="1:11">
      <c r="A1500" s="1" t="s">
        <v>1524</v>
      </c>
      <c r="B1500" s="2">
        <v>45813</v>
      </c>
      <c r="C1500" s="1" t="s">
        <v>12</v>
      </c>
      <c r="D1500" s="1" t="s">
        <v>13</v>
      </c>
      <c r="E1500" s="1" t="s">
        <v>23</v>
      </c>
      <c r="F1500" s="1">
        <v>265</v>
      </c>
      <c r="G1500" s="1">
        <v>12</v>
      </c>
      <c r="H1500" s="1">
        <v>3180</v>
      </c>
      <c r="I1500" s="1">
        <v>2066.7800000000002</v>
      </c>
      <c r="J1500" s="1">
        <v>1113.22</v>
      </c>
      <c r="K1500" s="8" t="str">
        <f t="shared" si="23"/>
        <v>Jun</v>
      </c>
    </row>
    <row r="1501" spans="1:11">
      <c r="A1501" s="1" t="s">
        <v>1525</v>
      </c>
      <c r="B1501" s="2">
        <v>45787</v>
      </c>
      <c r="C1501" s="1" t="s">
        <v>16</v>
      </c>
      <c r="D1501" s="1" t="s">
        <v>29</v>
      </c>
      <c r="E1501" s="1" t="s">
        <v>14</v>
      </c>
      <c r="F1501" s="1">
        <v>252</v>
      </c>
      <c r="G1501" s="1">
        <v>26.93</v>
      </c>
      <c r="H1501" s="1">
        <v>6786.36</v>
      </c>
      <c r="I1501" s="1">
        <v>5106.63</v>
      </c>
      <c r="J1501" s="1">
        <v>1679.73</v>
      </c>
      <c r="K1501" s="8" t="str">
        <f t="shared" si="23"/>
        <v>May</v>
      </c>
    </row>
    <row r="1502" spans="1:11">
      <c r="A1502" s="1" t="s">
        <v>1526</v>
      </c>
      <c r="B1502" s="2">
        <v>45704</v>
      </c>
      <c r="C1502" s="1" t="s">
        <v>12</v>
      </c>
      <c r="D1502" s="1" t="s">
        <v>13</v>
      </c>
      <c r="E1502" s="1" t="s">
        <v>23</v>
      </c>
      <c r="F1502" s="1">
        <v>80</v>
      </c>
      <c r="G1502" s="1">
        <v>13.67</v>
      </c>
      <c r="H1502" s="1">
        <v>1093.5999999999999</v>
      </c>
      <c r="I1502" s="1">
        <v>678.72</v>
      </c>
      <c r="J1502" s="1">
        <v>414.88</v>
      </c>
      <c r="K1502" s="8" t="str">
        <f t="shared" si="23"/>
        <v>Feb</v>
      </c>
    </row>
    <row r="1503" spans="1:11">
      <c r="A1503" s="1" t="s">
        <v>1527</v>
      </c>
      <c r="B1503" s="2">
        <v>45910</v>
      </c>
      <c r="C1503" s="1" t="s">
        <v>28</v>
      </c>
      <c r="D1503" s="1" t="s">
        <v>13</v>
      </c>
      <c r="E1503" s="1" t="s">
        <v>18</v>
      </c>
      <c r="F1503" s="1">
        <v>131</v>
      </c>
      <c r="G1503" s="1">
        <v>29.53</v>
      </c>
      <c r="H1503" s="1">
        <v>3868.43</v>
      </c>
      <c r="I1503" s="1">
        <v>2553.04</v>
      </c>
      <c r="J1503" s="1">
        <v>1315.39</v>
      </c>
      <c r="K1503" s="8" t="str">
        <f t="shared" si="23"/>
        <v>Sep</v>
      </c>
    </row>
    <row r="1504" spans="1:11">
      <c r="A1504" s="1" t="s">
        <v>1528</v>
      </c>
      <c r="B1504" s="2">
        <v>45681</v>
      </c>
      <c r="C1504" s="1" t="s">
        <v>36</v>
      </c>
      <c r="D1504" s="1" t="s">
        <v>13</v>
      </c>
      <c r="E1504" s="1" t="s">
        <v>23</v>
      </c>
      <c r="F1504" s="1">
        <v>71</v>
      </c>
      <c r="G1504" s="1">
        <v>38.64</v>
      </c>
      <c r="H1504" s="1">
        <v>2743.44</v>
      </c>
      <c r="I1504" s="1">
        <v>1767.5</v>
      </c>
      <c r="J1504" s="1">
        <v>975.94</v>
      </c>
      <c r="K1504" s="8" t="str">
        <f t="shared" si="23"/>
        <v>Jan</v>
      </c>
    </row>
    <row r="1505" spans="1:11">
      <c r="A1505" s="1" t="s">
        <v>1529</v>
      </c>
      <c r="B1505" s="2">
        <v>45706</v>
      </c>
      <c r="C1505" s="1" t="s">
        <v>36</v>
      </c>
      <c r="D1505" s="1" t="s">
        <v>17</v>
      </c>
      <c r="E1505" s="1" t="s">
        <v>33</v>
      </c>
      <c r="F1505" s="1">
        <v>227</v>
      </c>
      <c r="G1505" s="1">
        <v>29.39</v>
      </c>
      <c r="H1505" s="1">
        <v>6671.53</v>
      </c>
      <c r="I1505" s="1">
        <v>4197.7299999999996</v>
      </c>
      <c r="J1505" s="1">
        <v>2473.8000000000002</v>
      </c>
      <c r="K1505" s="8" t="str">
        <f t="shared" si="23"/>
        <v>Feb</v>
      </c>
    </row>
    <row r="1506" spans="1:11">
      <c r="A1506" s="1" t="s">
        <v>1530</v>
      </c>
      <c r="B1506" s="2">
        <v>45906</v>
      </c>
      <c r="C1506" s="1" t="s">
        <v>28</v>
      </c>
      <c r="D1506" s="1" t="s">
        <v>29</v>
      </c>
      <c r="E1506" s="1" t="s">
        <v>33</v>
      </c>
      <c r="F1506" s="1">
        <v>128</v>
      </c>
      <c r="G1506" s="1">
        <v>21.99</v>
      </c>
      <c r="H1506" s="1">
        <v>2814.72</v>
      </c>
      <c r="I1506" s="1">
        <v>2232.3000000000002</v>
      </c>
      <c r="J1506" s="1">
        <v>582.41999999999996</v>
      </c>
      <c r="K1506" s="8" t="str">
        <f t="shared" si="23"/>
        <v>Sep</v>
      </c>
    </row>
    <row r="1507" spans="1:11">
      <c r="A1507" s="1" t="s">
        <v>1531</v>
      </c>
      <c r="B1507" s="2">
        <v>46011</v>
      </c>
      <c r="C1507" s="1" t="s">
        <v>12</v>
      </c>
      <c r="D1507" s="1" t="s">
        <v>13</v>
      </c>
      <c r="E1507" s="1" t="s">
        <v>23</v>
      </c>
      <c r="F1507" s="1">
        <v>98</v>
      </c>
      <c r="G1507" s="1">
        <v>11.83</v>
      </c>
      <c r="H1507" s="1">
        <v>1159.3399999999999</v>
      </c>
      <c r="I1507" s="1">
        <v>901.06</v>
      </c>
      <c r="J1507" s="1">
        <v>258.27999999999997</v>
      </c>
      <c r="K1507" s="8" t="str">
        <f t="shared" si="23"/>
        <v>Dec</v>
      </c>
    </row>
    <row r="1508" spans="1:11">
      <c r="A1508" s="1" t="s">
        <v>1532</v>
      </c>
      <c r="B1508" s="2">
        <v>45963</v>
      </c>
      <c r="C1508" s="1" t="s">
        <v>31</v>
      </c>
      <c r="D1508" s="1" t="s">
        <v>17</v>
      </c>
      <c r="E1508" s="1" t="s">
        <v>20</v>
      </c>
      <c r="F1508" s="1">
        <v>262</v>
      </c>
      <c r="G1508" s="1">
        <v>32.270000000000003</v>
      </c>
      <c r="H1508" s="1">
        <v>8454.74</v>
      </c>
      <c r="I1508" s="1">
        <v>6005.64</v>
      </c>
      <c r="J1508" s="1">
        <v>2449.1</v>
      </c>
      <c r="K1508" s="8" t="str">
        <f t="shared" si="23"/>
        <v>Nov</v>
      </c>
    </row>
    <row r="1509" spans="1:11">
      <c r="A1509" s="1" t="s">
        <v>1533</v>
      </c>
      <c r="B1509" s="2">
        <v>45922</v>
      </c>
      <c r="C1509" s="1" t="s">
        <v>36</v>
      </c>
      <c r="D1509" s="1" t="s">
        <v>29</v>
      </c>
      <c r="E1509" s="1" t="s">
        <v>20</v>
      </c>
      <c r="F1509" s="1">
        <v>119</v>
      </c>
      <c r="G1509" s="1">
        <v>23.73</v>
      </c>
      <c r="H1509" s="1">
        <v>2823.87</v>
      </c>
      <c r="I1509" s="1">
        <v>1915.37</v>
      </c>
      <c r="J1509" s="1">
        <v>908.5</v>
      </c>
      <c r="K1509" s="8" t="str">
        <f t="shared" si="23"/>
        <v>Sep</v>
      </c>
    </row>
    <row r="1510" spans="1:11">
      <c r="A1510" s="1" t="s">
        <v>1534</v>
      </c>
      <c r="B1510" s="2">
        <v>45765</v>
      </c>
      <c r="C1510" s="1" t="s">
        <v>12</v>
      </c>
      <c r="D1510" s="1" t="s">
        <v>13</v>
      </c>
      <c r="E1510" s="1" t="s">
        <v>18</v>
      </c>
      <c r="F1510" s="1">
        <v>280</v>
      </c>
      <c r="G1510" s="1">
        <v>25.25</v>
      </c>
      <c r="H1510" s="1">
        <v>7070</v>
      </c>
      <c r="I1510" s="1">
        <v>5066.92</v>
      </c>
      <c r="J1510" s="1">
        <v>2003.08</v>
      </c>
      <c r="K1510" s="8" t="str">
        <f t="shared" si="23"/>
        <v>Apr</v>
      </c>
    </row>
    <row r="1511" spans="1:11">
      <c r="A1511" s="1" t="s">
        <v>1535</v>
      </c>
      <c r="B1511" s="2">
        <v>45918</v>
      </c>
      <c r="C1511" s="1" t="s">
        <v>16</v>
      </c>
      <c r="D1511" s="1" t="s">
        <v>29</v>
      </c>
      <c r="E1511" s="1" t="s">
        <v>18</v>
      </c>
      <c r="F1511" s="1">
        <v>244</v>
      </c>
      <c r="G1511" s="1">
        <v>36.43</v>
      </c>
      <c r="H1511" s="1">
        <v>8888.92</v>
      </c>
      <c r="I1511" s="1">
        <v>6250.11</v>
      </c>
      <c r="J1511" s="1">
        <v>2638.81</v>
      </c>
      <c r="K1511" s="8" t="str">
        <f t="shared" si="23"/>
        <v>Sep</v>
      </c>
    </row>
    <row r="1512" spans="1:11">
      <c r="A1512" s="1" t="s">
        <v>1536</v>
      </c>
      <c r="B1512" s="2">
        <v>45719</v>
      </c>
      <c r="C1512" s="1" t="s">
        <v>22</v>
      </c>
      <c r="D1512" s="1" t="s">
        <v>17</v>
      </c>
      <c r="E1512" s="1" t="s">
        <v>14</v>
      </c>
      <c r="F1512" s="1">
        <v>142</v>
      </c>
      <c r="G1512" s="1">
        <v>22.31</v>
      </c>
      <c r="H1512" s="1">
        <v>3168.02</v>
      </c>
      <c r="I1512" s="1">
        <v>2082.2199999999998</v>
      </c>
      <c r="J1512" s="1">
        <v>1085.8</v>
      </c>
      <c r="K1512" s="8" t="str">
        <f t="shared" si="23"/>
        <v>Mar</v>
      </c>
    </row>
    <row r="1513" spans="1:11">
      <c r="A1513" s="1" t="s">
        <v>1537</v>
      </c>
      <c r="B1513" s="2">
        <v>45895</v>
      </c>
      <c r="C1513" s="1" t="s">
        <v>36</v>
      </c>
      <c r="D1513" s="1" t="s">
        <v>29</v>
      </c>
      <c r="E1513" s="1" t="s">
        <v>14</v>
      </c>
      <c r="F1513" s="1">
        <v>135</v>
      </c>
      <c r="G1513" s="1">
        <v>32.020000000000003</v>
      </c>
      <c r="H1513" s="1">
        <v>4322.7</v>
      </c>
      <c r="I1513" s="1">
        <v>2914.52</v>
      </c>
      <c r="J1513" s="1">
        <v>1408.18</v>
      </c>
      <c r="K1513" s="8" t="str">
        <f t="shared" si="23"/>
        <v>Aug</v>
      </c>
    </row>
    <row r="1514" spans="1:11">
      <c r="A1514" s="1" t="s">
        <v>1538</v>
      </c>
      <c r="B1514" s="2">
        <v>45739</v>
      </c>
      <c r="C1514" s="1" t="s">
        <v>16</v>
      </c>
      <c r="D1514" s="1" t="s">
        <v>17</v>
      </c>
      <c r="E1514" s="1" t="s">
        <v>33</v>
      </c>
      <c r="F1514" s="1">
        <v>159</v>
      </c>
      <c r="G1514" s="1">
        <v>38.76</v>
      </c>
      <c r="H1514" s="1">
        <v>6162.84</v>
      </c>
      <c r="I1514" s="1">
        <v>4160.3500000000004</v>
      </c>
      <c r="J1514" s="1">
        <v>2002.49</v>
      </c>
      <c r="K1514" s="8" t="str">
        <f t="shared" si="23"/>
        <v>Mar</v>
      </c>
    </row>
    <row r="1515" spans="1:11">
      <c r="A1515" s="1" t="s">
        <v>1539</v>
      </c>
      <c r="B1515" s="2">
        <v>45731</v>
      </c>
      <c r="C1515" s="1" t="s">
        <v>31</v>
      </c>
      <c r="D1515" s="1" t="s">
        <v>17</v>
      </c>
      <c r="E1515" s="1" t="s">
        <v>18</v>
      </c>
      <c r="F1515" s="1">
        <v>252</v>
      </c>
      <c r="G1515" s="1">
        <v>34.19</v>
      </c>
      <c r="H1515" s="1">
        <v>8615.8799999999992</v>
      </c>
      <c r="I1515" s="1">
        <v>5885.55</v>
      </c>
      <c r="J1515" s="1">
        <v>2730.33</v>
      </c>
      <c r="K1515" s="8" t="str">
        <f t="shared" si="23"/>
        <v>Mar</v>
      </c>
    </row>
    <row r="1516" spans="1:11">
      <c r="A1516" s="1" t="s">
        <v>1540</v>
      </c>
      <c r="B1516" s="2">
        <v>45870</v>
      </c>
      <c r="C1516" s="1" t="s">
        <v>22</v>
      </c>
      <c r="D1516" s="1" t="s">
        <v>17</v>
      </c>
      <c r="E1516" s="1" t="s">
        <v>20</v>
      </c>
      <c r="F1516" s="1">
        <v>210</v>
      </c>
      <c r="G1516" s="1">
        <v>37.5</v>
      </c>
      <c r="H1516" s="1">
        <v>7875</v>
      </c>
      <c r="I1516" s="1">
        <v>5932.03</v>
      </c>
      <c r="J1516" s="1">
        <v>1942.97</v>
      </c>
      <c r="K1516" s="8" t="str">
        <f t="shared" si="23"/>
        <v>Aug</v>
      </c>
    </row>
    <row r="1517" spans="1:11">
      <c r="A1517" s="1" t="s">
        <v>1541</v>
      </c>
      <c r="B1517" s="2">
        <v>45661</v>
      </c>
      <c r="C1517" s="1" t="s">
        <v>22</v>
      </c>
      <c r="D1517" s="1" t="s">
        <v>29</v>
      </c>
      <c r="E1517" s="1" t="s">
        <v>18</v>
      </c>
      <c r="F1517" s="1">
        <v>38</v>
      </c>
      <c r="G1517" s="1">
        <v>16.02</v>
      </c>
      <c r="H1517" s="1">
        <v>608.76</v>
      </c>
      <c r="I1517" s="1">
        <v>406.68</v>
      </c>
      <c r="J1517" s="1">
        <v>202.08</v>
      </c>
      <c r="K1517" s="8" t="str">
        <f t="shared" si="23"/>
        <v>Jan</v>
      </c>
    </row>
    <row r="1518" spans="1:11">
      <c r="A1518" s="1" t="s">
        <v>1542</v>
      </c>
      <c r="B1518" s="2">
        <v>45910</v>
      </c>
      <c r="C1518" s="1" t="s">
        <v>22</v>
      </c>
      <c r="D1518" s="1" t="s">
        <v>13</v>
      </c>
      <c r="E1518" s="1" t="s">
        <v>14</v>
      </c>
      <c r="F1518" s="1">
        <v>77</v>
      </c>
      <c r="G1518" s="1">
        <v>31.39</v>
      </c>
      <c r="H1518" s="1">
        <v>2417.0300000000002</v>
      </c>
      <c r="I1518" s="1">
        <v>1768.33</v>
      </c>
      <c r="J1518" s="1">
        <v>648.70000000000005</v>
      </c>
      <c r="K1518" s="8" t="str">
        <f t="shared" si="23"/>
        <v>Sep</v>
      </c>
    </row>
    <row r="1519" spans="1:11">
      <c r="A1519" s="1" t="s">
        <v>1543</v>
      </c>
      <c r="B1519" s="2">
        <v>46009</v>
      </c>
      <c r="C1519" s="1" t="s">
        <v>22</v>
      </c>
      <c r="D1519" s="1" t="s">
        <v>29</v>
      </c>
      <c r="E1519" s="1" t="s">
        <v>14</v>
      </c>
      <c r="F1519" s="1">
        <v>13</v>
      </c>
      <c r="G1519" s="1">
        <v>19.84</v>
      </c>
      <c r="H1519" s="1">
        <v>257.92</v>
      </c>
      <c r="I1519" s="1">
        <v>155.97999999999999</v>
      </c>
      <c r="J1519" s="1">
        <v>101.94</v>
      </c>
      <c r="K1519" s="8" t="str">
        <f t="shared" si="23"/>
        <v>Dec</v>
      </c>
    </row>
    <row r="1520" spans="1:11">
      <c r="A1520" s="1" t="s">
        <v>1544</v>
      </c>
      <c r="B1520" s="2">
        <v>45793</v>
      </c>
      <c r="C1520" s="1" t="s">
        <v>36</v>
      </c>
      <c r="D1520" s="1" t="s">
        <v>13</v>
      </c>
      <c r="E1520" s="1" t="s">
        <v>23</v>
      </c>
      <c r="F1520" s="1">
        <v>137</v>
      </c>
      <c r="G1520" s="1">
        <v>30.89</v>
      </c>
      <c r="H1520" s="1">
        <v>4231.93</v>
      </c>
      <c r="I1520" s="1">
        <v>2663.04</v>
      </c>
      <c r="J1520" s="1">
        <v>1568.89</v>
      </c>
      <c r="K1520" s="8" t="str">
        <f t="shared" si="23"/>
        <v>May</v>
      </c>
    </row>
    <row r="1521" spans="1:11">
      <c r="A1521" s="1" t="s">
        <v>1545</v>
      </c>
      <c r="B1521" s="2">
        <v>45775</v>
      </c>
      <c r="C1521" s="1" t="s">
        <v>36</v>
      </c>
      <c r="D1521" s="1" t="s">
        <v>29</v>
      </c>
      <c r="E1521" s="1" t="s">
        <v>20</v>
      </c>
      <c r="F1521" s="1">
        <v>36</v>
      </c>
      <c r="G1521" s="1">
        <v>12.43</v>
      </c>
      <c r="H1521" s="1">
        <v>447.48</v>
      </c>
      <c r="I1521" s="1">
        <v>345.97</v>
      </c>
      <c r="J1521" s="1">
        <v>101.51</v>
      </c>
      <c r="K1521" s="8" t="str">
        <f t="shared" si="23"/>
        <v>Apr</v>
      </c>
    </row>
    <row r="1522" spans="1:11">
      <c r="A1522" s="1" t="s">
        <v>1546</v>
      </c>
      <c r="B1522" s="2">
        <v>45974</v>
      </c>
      <c r="C1522" s="1" t="s">
        <v>36</v>
      </c>
      <c r="D1522" s="1" t="s">
        <v>13</v>
      </c>
      <c r="E1522" s="1" t="s">
        <v>20</v>
      </c>
      <c r="F1522" s="1">
        <v>49</v>
      </c>
      <c r="G1522" s="1">
        <v>33.119999999999997</v>
      </c>
      <c r="H1522" s="1">
        <v>1622.88</v>
      </c>
      <c r="I1522" s="1">
        <v>1047.74</v>
      </c>
      <c r="J1522" s="1">
        <v>575.14</v>
      </c>
      <c r="K1522" s="8" t="str">
        <f t="shared" si="23"/>
        <v>Nov</v>
      </c>
    </row>
    <row r="1523" spans="1:11">
      <c r="A1523" s="1" t="s">
        <v>1547</v>
      </c>
      <c r="B1523" s="2">
        <v>45785</v>
      </c>
      <c r="C1523" s="1" t="s">
        <v>36</v>
      </c>
      <c r="D1523" s="1" t="s">
        <v>13</v>
      </c>
      <c r="E1523" s="1" t="s">
        <v>20</v>
      </c>
      <c r="F1523" s="1">
        <v>133</v>
      </c>
      <c r="G1523" s="1">
        <v>12.22</v>
      </c>
      <c r="H1523" s="1">
        <v>1625.26</v>
      </c>
      <c r="I1523" s="1">
        <v>1251.22</v>
      </c>
      <c r="J1523" s="1">
        <v>374.04</v>
      </c>
      <c r="K1523" s="8" t="str">
        <f t="shared" si="23"/>
        <v>May</v>
      </c>
    </row>
    <row r="1524" spans="1:11">
      <c r="A1524" s="1" t="s">
        <v>1548</v>
      </c>
      <c r="B1524" s="2">
        <v>45754</v>
      </c>
      <c r="C1524" s="1" t="s">
        <v>16</v>
      </c>
      <c r="D1524" s="1" t="s">
        <v>17</v>
      </c>
      <c r="E1524" s="1" t="s">
        <v>20</v>
      </c>
      <c r="F1524" s="1">
        <v>99</v>
      </c>
      <c r="G1524" s="1">
        <v>11.14</v>
      </c>
      <c r="H1524" s="1">
        <v>1102.8599999999999</v>
      </c>
      <c r="I1524" s="1">
        <v>880.34</v>
      </c>
      <c r="J1524" s="1">
        <v>222.52</v>
      </c>
      <c r="K1524" s="8" t="str">
        <f t="shared" si="23"/>
        <v>Apr</v>
      </c>
    </row>
    <row r="1525" spans="1:11">
      <c r="A1525" s="1" t="s">
        <v>1549</v>
      </c>
      <c r="B1525" s="2">
        <v>45692</v>
      </c>
      <c r="C1525" s="1" t="s">
        <v>12</v>
      </c>
      <c r="D1525" s="1" t="s">
        <v>17</v>
      </c>
      <c r="E1525" s="1" t="s">
        <v>26</v>
      </c>
      <c r="F1525" s="1">
        <v>91</v>
      </c>
      <c r="G1525" s="1">
        <v>29.96</v>
      </c>
      <c r="H1525" s="1">
        <v>2726.36</v>
      </c>
      <c r="I1525" s="1">
        <v>1683.02</v>
      </c>
      <c r="J1525" s="1">
        <v>1043.3399999999999</v>
      </c>
      <c r="K1525" s="8" t="str">
        <f t="shared" si="23"/>
        <v>Feb</v>
      </c>
    </row>
    <row r="1526" spans="1:11">
      <c r="A1526" s="1" t="s">
        <v>1550</v>
      </c>
      <c r="B1526" s="2">
        <v>45658</v>
      </c>
      <c r="C1526" s="1" t="s">
        <v>36</v>
      </c>
      <c r="D1526" s="1" t="s">
        <v>13</v>
      </c>
      <c r="E1526" s="1" t="s">
        <v>26</v>
      </c>
      <c r="F1526" s="1">
        <v>288</v>
      </c>
      <c r="G1526" s="1">
        <v>18.61</v>
      </c>
      <c r="H1526" s="1">
        <v>5359.68</v>
      </c>
      <c r="I1526" s="1">
        <v>4168.42</v>
      </c>
      <c r="J1526" s="1">
        <v>1191.26</v>
      </c>
      <c r="K1526" s="8" t="str">
        <f t="shared" si="23"/>
        <v>Jan</v>
      </c>
    </row>
    <row r="1527" spans="1:11">
      <c r="A1527" s="1" t="s">
        <v>1551</v>
      </c>
      <c r="B1527" s="2">
        <v>45708</v>
      </c>
      <c r="C1527" s="1" t="s">
        <v>22</v>
      </c>
      <c r="D1527" s="1" t="s">
        <v>17</v>
      </c>
      <c r="E1527" s="1" t="s">
        <v>14</v>
      </c>
      <c r="F1527" s="1">
        <v>291</v>
      </c>
      <c r="G1527" s="1">
        <v>31.7</v>
      </c>
      <c r="H1527" s="1">
        <v>9224.7000000000007</v>
      </c>
      <c r="I1527" s="1">
        <v>6470.24</v>
      </c>
      <c r="J1527" s="1">
        <v>2754.46</v>
      </c>
      <c r="K1527" s="8" t="str">
        <f t="shared" si="23"/>
        <v>Feb</v>
      </c>
    </row>
    <row r="1528" spans="1:11">
      <c r="A1528" s="1" t="s">
        <v>1552</v>
      </c>
      <c r="B1528" s="2">
        <v>46010</v>
      </c>
      <c r="C1528" s="1" t="s">
        <v>16</v>
      </c>
      <c r="D1528" s="1" t="s">
        <v>13</v>
      </c>
      <c r="E1528" s="1" t="s">
        <v>20</v>
      </c>
      <c r="F1528" s="1">
        <v>118</v>
      </c>
      <c r="G1528" s="1">
        <v>34.08</v>
      </c>
      <c r="H1528" s="1">
        <v>4021.44</v>
      </c>
      <c r="I1528" s="1">
        <v>2978.31</v>
      </c>
      <c r="J1528" s="1">
        <v>1043.1300000000001</v>
      </c>
      <c r="K1528" s="8" t="str">
        <f t="shared" si="23"/>
        <v>Dec</v>
      </c>
    </row>
    <row r="1529" spans="1:11">
      <c r="A1529" s="1" t="s">
        <v>1553</v>
      </c>
      <c r="B1529" s="2">
        <v>45677</v>
      </c>
      <c r="C1529" s="1" t="s">
        <v>12</v>
      </c>
      <c r="D1529" s="1" t="s">
        <v>29</v>
      </c>
      <c r="E1529" s="1" t="s">
        <v>33</v>
      </c>
      <c r="F1529" s="1">
        <v>248</v>
      </c>
      <c r="G1529" s="1">
        <v>31.9</v>
      </c>
      <c r="H1529" s="1">
        <v>7911.2</v>
      </c>
      <c r="I1529" s="1">
        <v>4997.79</v>
      </c>
      <c r="J1529" s="1">
        <v>2913.41</v>
      </c>
      <c r="K1529" s="8" t="str">
        <f t="shared" si="23"/>
        <v>Jan</v>
      </c>
    </row>
    <row r="1530" spans="1:11">
      <c r="A1530" s="1" t="s">
        <v>1554</v>
      </c>
      <c r="B1530" s="2">
        <v>45670</v>
      </c>
      <c r="C1530" s="1" t="s">
        <v>31</v>
      </c>
      <c r="D1530" s="1" t="s">
        <v>29</v>
      </c>
      <c r="E1530" s="1" t="s">
        <v>18</v>
      </c>
      <c r="F1530" s="1">
        <v>111</v>
      </c>
      <c r="G1530" s="1">
        <v>17.61</v>
      </c>
      <c r="H1530" s="1">
        <v>1954.71</v>
      </c>
      <c r="I1530" s="1">
        <v>1358.3</v>
      </c>
      <c r="J1530" s="1">
        <v>596.41</v>
      </c>
      <c r="K1530" s="8" t="str">
        <f t="shared" si="23"/>
        <v>Jan</v>
      </c>
    </row>
    <row r="1531" spans="1:11">
      <c r="A1531" s="1" t="s">
        <v>1555</v>
      </c>
      <c r="B1531" s="2">
        <v>45662</v>
      </c>
      <c r="C1531" s="1" t="s">
        <v>31</v>
      </c>
      <c r="D1531" s="1" t="s">
        <v>29</v>
      </c>
      <c r="E1531" s="1" t="s">
        <v>20</v>
      </c>
      <c r="F1531" s="1">
        <v>93</v>
      </c>
      <c r="G1531" s="1">
        <v>35.15</v>
      </c>
      <c r="H1531" s="1">
        <v>3268.95</v>
      </c>
      <c r="I1531" s="1">
        <v>2548.0500000000002</v>
      </c>
      <c r="J1531" s="1">
        <v>720.9</v>
      </c>
      <c r="K1531" s="8" t="str">
        <f t="shared" si="23"/>
        <v>Jan</v>
      </c>
    </row>
    <row r="1532" spans="1:11">
      <c r="A1532" s="1" t="s">
        <v>1556</v>
      </c>
      <c r="B1532" s="2">
        <v>45991</v>
      </c>
      <c r="C1532" s="1" t="s">
        <v>12</v>
      </c>
      <c r="D1532" s="1" t="s">
        <v>17</v>
      </c>
      <c r="E1532" s="1" t="s">
        <v>18</v>
      </c>
      <c r="F1532" s="1">
        <v>223</v>
      </c>
      <c r="G1532" s="1">
        <v>37.770000000000003</v>
      </c>
      <c r="H1532" s="1">
        <v>8422.7099999999991</v>
      </c>
      <c r="I1532" s="1">
        <v>6147.94</v>
      </c>
      <c r="J1532" s="1">
        <v>2274.77</v>
      </c>
      <c r="K1532" s="8" t="str">
        <f t="shared" si="23"/>
        <v>Nov</v>
      </c>
    </row>
    <row r="1533" spans="1:11">
      <c r="A1533" s="1" t="s">
        <v>1557</v>
      </c>
      <c r="B1533" s="2">
        <v>45674</v>
      </c>
      <c r="C1533" s="1" t="s">
        <v>31</v>
      </c>
      <c r="D1533" s="1" t="s">
        <v>17</v>
      </c>
      <c r="E1533" s="1" t="s">
        <v>26</v>
      </c>
      <c r="F1533" s="1">
        <v>106</v>
      </c>
      <c r="G1533" s="1">
        <v>26.42</v>
      </c>
      <c r="H1533" s="1">
        <v>2800.52</v>
      </c>
      <c r="I1533" s="1">
        <v>1912.13</v>
      </c>
      <c r="J1533" s="1">
        <v>888.39</v>
      </c>
      <c r="K1533" s="8" t="str">
        <f t="shared" si="23"/>
        <v>Jan</v>
      </c>
    </row>
    <row r="1534" spans="1:11">
      <c r="A1534" s="1" t="s">
        <v>1558</v>
      </c>
      <c r="B1534" s="2">
        <v>45771</v>
      </c>
      <c r="C1534" s="1" t="s">
        <v>36</v>
      </c>
      <c r="D1534" s="1" t="s">
        <v>17</v>
      </c>
      <c r="E1534" s="1" t="s">
        <v>20</v>
      </c>
      <c r="F1534" s="1">
        <v>169</v>
      </c>
      <c r="G1534" s="1">
        <v>33.94</v>
      </c>
      <c r="H1534" s="1">
        <v>5735.86</v>
      </c>
      <c r="I1534" s="1">
        <v>3688.75</v>
      </c>
      <c r="J1534" s="1">
        <v>2047.11</v>
      </c>
      <c r="K1534" s="8" t="str">
        <f t="shared" si="23"/>
        <v>Apr</v>
      </c>
    </row>
    <row r="1535" spans="1:11">
      <c r="A1535" s="1" t="s">
        <v>1559</v>
      </c>
      <c r="B1535" s="2">
        <v>45921</v>
      </c>
      <c r="C1535" s="1" t="s">
        <v>16</v>
      </c>
      <c r="D1535" s="1" t="s">
        <v>17</v>
      </c>
      <c r="E1535" s="1" t="s">
        <v>18</v>
      </c>
      <c r="F1535" s="1">
        <v>74</v>
      </c>
      <c r="G1535" s="1">
        <v>12.57</v>
      </c>
      <c r="H1535" s="1">
        <v>930.18</v>
      </c>
      <c r="I1535" s="1">
        <v>598.4</v>
      </c>
      <c r="J1535" s="1">
        <v>331.78</v>
      </c>
      <c r="K1535" s="8" t="str">
        <f t="shared" si="23"/>
        <v>Sep</v>
      </c>
    </row>
    <row r="1536" spans="1:11">
      <c r="A1536" s="1" t="s">
        <v>1560</v>
      </c>
      <c r="B1536" s="2">
        <v>45743</v>
      </c>
      <c r="C1536" s="1" t="s">
        <v>16</v>
      </c>
      <c r="D1536" s="1" t="s">
        <v>13</v>
      </c>
      <c r="E1536" s="1" t="s">
        <v>23</v>
      </c>
      <c r="F1536" s="1">
        <v>264</v>
      </c>
      <c r="G1536" s="1">
        <v>29.59</v>
      </c>
      <c r="H1536" s="1">
        <v>7811.76</v>
      </c>
      <c r="I1536" s="1">
        <v>5227.6000000000004</v>
      </c>
      <c r="J1536" s="1">
        <v>2584.16</v>
      </c>
      <c r="K1536" s="8" t="str">
        <f t="shared" si="23"/>
        <v>Mar</v>
      </c>
    </row>
    <row r="1537" spans="1:11">
      <c r="A1537" s="1" t="s">
        <v>1561</v>
      </c>
      <c r="B1537" s="2">
        <v>45751</v>
      </c>
      <c r="C1537" s="1" t="s">
        <v>22</v>
      </c>
      <c r="D1537" s="1" t="s">
        <v>29</v>
      </c>
      <c r="E1537" s="1" t="s">
        <v>23</v>
      </c>
      <c r="F1537" s="1">
        <v>217</v>
      </c>
      <c r="G1537" s="1">
        <v>35.380000000000003</v>
      </c>
      <c r="H1537" s="1">
        <v>7677.46</v>
      </c>
      <c r="I1537" s="1">
        <v>5073.47</v>
      </c>
      <c r="J1537" s="1">
        <v>2603.9899999999998</v>
      </c>
      <c r="K1537" s="8" t="str">
        <f t="shared" si="23"/>
        <v>Apr</v>
      </c>
    </row>
    <row r="1538" spans="1:11">
      <c r="A1538" s="1" t="s">
        <v>1562</v>
      </c>
      <c r="B1538" s="2">
        <v>45956</v>
      </c>
      <c r="C1538" s="1" t="s">
        <v>12</v>
      </c>
      <c r="D1538" s="1" t="s">
        <v>29</v>
      </c>
      <c r="E1538" s="1" t="s">
        <v>20</v>
      </c>
      <c r="F1538" s="1">
        <v>78</v>
      </c>
      <c r="G1538" s="1">
        <v>34.340000000000003</v>
      </c>
      <c r="H1538" s="1">
        <v>2678.52</v>
      </c>
      <c r="I1538" s="1">
        <v>1684.69</v>
      </c>
      <c r="J1538" s="1">
        <v>993.83</v>
      </c>
      <c r="K1538" s="8" t="str">
        <f t="shared" ref="K1538:K1601" si="24">TEXT(B1538,"mmm")</f>
        <v>Oct</v>
      </c>
    </row>
    <row r="1539" spans="1:11">
      <c r="A1539" s="1" t="s">
        <v>1563</v>
      </c>
      <c r="B1539" s="2">
        <v>45755</v>
      </c>
      <c r="C1539" s="1" t="s">
        <v>36</v>
      </c>
      <c r="D1539" s="1" t="s">
        <v>29</v>
      </c>
      <c r="E1539" s="1" t="s">
        <v>14</v>
      </c>
      <c r="F1539" s="1">
        <v>56</v>
      </c>
      <c r="G1539" s="1">
        <v>17.96</v>
      </c>
      <c r="H1539" s="1">
        <v>1005.76</v>
      </c>
      <c r="I1539" s="1">
        <v>759.84</v>
      </c>
      <c r="J1539" s="1">
        <v>245.92</v>
      </c>
      <c r="K1539" s="8" t="str">
        <f t="shared" si="24"/>
        <v>Apr</v>
      </c>
    </row>
    <row r="1540" spans="1:11">
      <c r="A1540" s="1" t="s">
        <v>1564</v>
      </c>
      <c r="B1540" s="2">
        <v>45907</v>
      </c>
      <c r="C1540" s="1" t="s">
        <v>16</v>
      </c>
      <c r="D1540" s="1" t="s">
        <v>17</v>
      </c>
      <c r="E1540" s="1" t="s">
        <v>26</v>
      </c>
      <c r="F1540" s="1">
        <v>165</v>
      </c>
      <c r="G1540" s="1">
        <v>29.22</v>
      </c>
      <c r="H1540" s="1">
        <v>4821.3</v>
      </c>
      <c r="I1540" s="1">
        <v>3769.9</v>
      </c>
      <c r="J1540" s="1">
        <v>1051.4000000000001</v>
      </c>
      <c r="K1540" s="8" t="str">
        <f t="shared" si="24"/>
        <v>Sep</v>
      </c>
    </row>
    <row r="1541" spans="1:11">
      <c r="A1541" s="1" t="s">
        <v>1565</v>
      </c>
      <c r="B1541" s="2">
        <v>45664</v>
      </c>
      <c r="C1541" s="1" t="s">
        <v>28</v>
      </c>
      <c r="D1541" s="1" t="s">
        <v>29</v>
      </c>
      <c r="E1541" s="1" t="s">
        <v>33</v>
      </c>
      <c r="F1541" s="1">
        <v>172</v>
      </c>
      <c r="G1541" s="1">
        <v>26.03</v>
      </c>
      <c r="H1541" s="1">
        <v>4477.16</v>
      </c>
      <c r="I1541" s="1">
        <v>2752.65</v>
      </c>
      <c r="J1541" s="1">
        <v>1724.51</v>
      </c>
      <c r="K1541" s="8" t="str">
        <f t="shared" si="24"/>
        <v>Jan</v>
      </c>
    </row>
    <row r="1542" spans="1:11">
      <c r="A1542" s="1" t="s">
        <v>1566</v>
      </c>
      <c r="B1542" s="2">
        <v>45700</v>
      </c>
      <c r="C1542" s="1" t="s">
        <v>16</v>
      </c>
      <c r="D1542" s="1" t="s">
        <v>29</v>
      </c>
      <c r="E1542" s="1" t="s">
        <v>23</v>
      </c>
      <c r="F1542" s="1">
        <v>49</v>
      </c>
      <c r="G1542" s="1">
        <v>36.950000000000003</v>
      </c>
      <c r="H1542" s="1">
        <v>1810.55</v>
      </c>
      <c r="I1542" s="1">
        <v>1300.6600000000001</v>
      </c>
      <c r="J1542" s="1">
        <v>509.89</v>
      </c>
      <c r="K1542" s="8" t="str">
        <f t="shared" si="24"/>
        <v>Feb</v>
      </c>
    </row>
    <row r="1543" spans="1:11">
      <c r="A1543" s="1" t="s">
        <v>1567</v>
      </c>
      <c r="B1543" s="2">
        <v>45833</v>
      </c>
      <c r="C1543" s="1" t="s">
        <v>22</v>
      </c>
      <c r="D1543" s="1" t="s">
        <v>17</v>
      </c>
      <c r="E1543" s="1" t="s">
        <v>20</v>
      </c>
      <c r="F1543" s="1">
        <v>279</v>
      </c>
      <c r="G1543" s="1">
        <v>16.27</v>
      </c>
      <c r="H1543" s="1">
        <v>4539.33</v>
      </c>
      <c r="I1543" s="1">
        <v>2855.62</v>
      </c>
      <c r="J1543" s="1">
        <v>1683.71</v>
      </c>
      <c r="K1543" s="8" t="str">
        <f t="shared" si="24"/>
        <v>Jun</v>
      </c>
    </row>
    <row r="1544" spans="1:11">
      <c r="A1544" s="1" t="s">
        <v>1568</v>
      </c>
      <c r="B1544" s="2">
        <v>46020</v>
      </c>
      <c r="C1544" s="1" t="s">
        <v>28</v>
      </c>
      <c r="D1544" s="1" t="s">
        <v>17</v>
      </c>
      <c r="E1544" s="1" t="s">
        <v>33</v>
      </c>
      <c r="F1544" s="1">
        <v>189</v>
      </c>
      <c r="G1544" s="1">
        <v>38.11</v>
      </c>
      <c r="H1544" s="1">
        <v>7202.79</v>
      </c>
      <c r="I1544" s="1">
        <v>5126.2299999999996</v>
      </c>
      <c r="J1544" s="1">
        <v>2076.56</v>
      </c>
      <c r="K1544" s="8" t="str">
        <f t="shared" si="24"/>
        <v>Dec</v>
      </c>
    </row>
    <row r="1545" spans="1:11">
      <c r="A1545" s="1" t="s">
        <v>1569</v>
      </c>
      <c r="B1545" s="2">
        <v>45994</v>
      </c>
      <c r="C1545" s="1" t="s">
        <v>16</v>
      </c>
      <c r="D1545" s="1" t="s">
        <v>13</v>
      </c>
      <c r="E1545" s="1" t="s">
        <v>20</v>
      </c>
      <c r="F1545" s="1">
        <v>10</v>
      </c>
      <c r="G1545" s="1">
        <v>12.37</v>
      </c>
      <c r="H1545" s="1">
        <v>123.7</v>
      </c>
      <c r="I1545" s="1">
        <v>75.73</v>
      </c>
      <c r="J1545" s="1">
        <v>47.97</v>
      </c>
      <c r="K1545" s="8" t="str">
        <f t="shared" si="24"/>
        <v>Dec</v>
      </c>
    </row>
    <row r="1546" spans="1:11">
      <c r="A1546" s="1" t="s">
        <v>1570</v>
      </c>
      <c r="B1546" s="2">
        <v>45716</v>
      </c>
      <c r="C1546" s="1" t="s">
        <v>22</v>
      </c>
      <c r="D1546" s="1" t="s">
        <v>13</v>
      </c>
      <c r="E1546" s="1" t="s">
        <v>23</v>
      </c>
      <c r="F1546" s="1">
        <v>163</v>
      </c>
      <c r="G1546" s="1">
        <v>27.23</v>
      </c>
      <c r="H1546" s="1">
        <v>4438.49</v>
      </c>
      <c r="I1546" s="1">
        <v>2950.5</v>
      </c>
      <c r="J1546" s="1">
        <v>1487.99</v>
      </c>
      <c r="K1546" s="8" t="str">
        <f t="shared" si="24"/>
        <v>Feb</v>
      </c>
    </row>
    <row r="1547" spans="1:11">
      <c r="A1547" s="1" t="s">
        <v>1571</v>
      </c>
      <c r="B1547" s="2">
        <v>45714</v>
      </c>
      <c r="C1547" s="1" t="s">
        <v>16</v>
      </c>
      <c r="D1547" s="1" t="s">
        <v>29</v>
      </c>
      <c r="E1547" s="1" t="s">
        <v>18</v>
      </c>
      <c r="F1547" s="1">
        <v>108</v>
      </c>
      <c r="G1547" s="1">
        <v>30.3</v>
      </c>
      <c r="H1547" s="1">
        <v>3272.4</v>
      </c>
      <c r="I1547" s="1">
        <v>2228.36</v>
      </c>
      <c r="J1547" s="1">
        <v>1044.04</v>
      </c>
      <c r="K1547" s="8" t="str">
        <f t="shared" si="24"/>
        <v>Feb</v>
      </c>
    </row>
    <row r="1548" spans="1:11">
      <c r="A1548" s="1" t="s">
        <v>1572</v>
      </c>
      <c r="B1548" s="2">
        <v>45848</v>
      </c>
      <c r="C1548" s="1" t="s">
        <v>12</v>
      </c>
      <c r="D1548" s="1" t="s">
        <v>29</v>
      </c>
      <c r="E1548" s="1" t="s">
        <v>23</v>
      </c>
      <c r="F1548" s="1">
        <v>34</v>
      </c>
      <c r="G1548" s="1">
        <v>28.08</v>
      </c>
      <c r="H1548" s="1">
        <v>954.72</v>
      </c>
      <c r="I1548" s="1">
        <v>587.80999999999995</v>
      </c>
      <c r="J1548" s="1">
        <v>366.91</v>
      </c>
      <c r="K1548" s="8" t="str">
        <f t="shared" si="24"/>
        <v>Jul</v>
      </c>
    </row>
    <row r="1549" spans="1:11">
      <c r="A1549" s="1" t="s">
        <v>1573</v>
      </c>
      <c r="B1549" s="2">
        <v>45671</v>
      </c>
      <c r="C1549" s="1" t="s">
        <v>31</v>
      </c>
      <c r="D1549" s="1" t="s">
        <v>17</v>
      </c>
      <c r="E1549" s="1" t="s">
        <v>33</v>
      </c>
      <c r="F1549" s="1">
        <v>211</v>
      </c>
      <c r="G1549" s="1">
        <v>13.36</v>
      </c>
      <c r="H1549" s="1">
        <v>2818.96</v>
      </c>
      <c r="I1549" s="1">
        <v>1995.59</v>
      </c>
      <c r="J1549" s="1">
        <v>823.37</v>
      </c>
      <c r="K1549" s="8" t="str">
        <f t="shared" si="24"/>
        <v>Jan</v>
      </c>
    </row>
    <row r="1550" spans="1:11">
      <c r="A1550" s="1" t="s">
        <v>1574</v>
      </c>
      <c r="B1550" s="2">
        <v>45670</v>
      </c>
      <c r="C1550" s="1" t="s">
        <v>12</v>
      </c>
      <c r="D1550" s="1" t="s">
        <v>29</v>
      </c>
      <c r="E1550" s="1" t="s">
        <v>18</v>
      </c>
      <c r="F1550" s="1">
        <v>249</v>
      </c>
      <c r="G1550" s="1">
        <v>17.7</v>
      </c>
      <c r="H1550" s="1">
        <v>4407.3</v>
      </c>
      <c r="I1550" s="1">
        <v>3029.27</v>
      </c>
      <c r="J1550" s="1">
        <v>1378.03</v>
      </c>
      <c r="K1550" s="8" t="str">
        <f t="shared" si="24"/>
        <v>Jan</v>
      </c>
    </row>
    <row r="1551" spans="1:11">
      <c r="A1551" s="1" t="s">
        <v>1575</v>
      </c>
      <c r="B1551" s="2">
        <v>45686</v>
      </c>
      <c r="C1551" s="1" t="s">
        <v>22</v>
      </c>
      <c r="D1551" s="1" t="s">
        <v>13</v>
      </c>
      <c r="E1551" s="1" t="s">
        <v>18</v>
      </c>
      <c r="F1551" s="1">
        <v>298</v>
      </c>
      <c r="G1551" s="1">
        <v>21.82</v>
      </c>
      <c r="H1551" s="1">
        <v>6502.36</v>
      </c>
      <c r="I1551" s="1">
        <v>4975.66</v>
      </c>
      <c r="J1551" s="1">
        <v>1526.7</v>
      </c>
      <c r="K1551" s="8" t="str">
        <f t="shared" si="24"/>
        <v>Jan</v>
      </c>
    </row>
    <row r="1552" spans="1:11">
      <c r="A1552" s="1" t="s">
        <v>1576</v>
      </c>
      <c r="B1552" s="2">
        <v>45917</v>
      </c>
      <c r="C1552" s="1" t="s">
        <v>28</v>
      </c>
      <c r="D1552" s="1" t="s">
        <v>13</v>
      </c>
      <c r="E1552" s="1" t="s">
        <v>33</v>
      </c>
      <c r="F1552" s="1">
        <v>153</v>
      </c>
      <c r="G1552" s="1">
        <v>34.369999999999997</v>
      </c>
      <c r="H1552" s="1">
        <v>5258.61</v>
      </c>
      <c r="I1552" s="1">
        <v>3929.66</v>
      </c>
      <c r="J1552" s="1">
        <v>1328.95</v>
      </c>
      <c r="K1552" s="8" t="str">
        <f t="shared" si="24"/>
        <v>Sep</v>
      </c>
    </row>
    <row r="1553" spans="1:11">
      <c r="A1553" s="1" t="s">
        <v>1577</v>
      </c>
      <c r="B1553" s="2">
        <v>45760</v>
      </c>
      <c r="C1553" s="1" t="s">
        <v>22</v>
      </c>
      <c r="D1553" s="1" t="s">
        <v>13</v>
      </c>
      <c r="E1553" s="1" t="s">
        <v>14</v>
      </c>
      <c r="F1553" s="1">
        <v>134</v>
      </c>
      <c r="G1553" s="1">
        <v>28.51</v>
      </c>
      <c r="H1553" s="1">
        <v>3820.34</v>
      </c>
      <c r="I1553" s="1">
        <v>2304.4</v>
      </c>
      <c r="J1553" s="1">
        <v>1515.94</v>
      </c>
      <c r="K1553" s="8" t="str">
        <f t="shared" si="24"/>
        <v>Apr</v>
      </c>
    </row>
    <row r="1554" spans="1:11">
      <c r="A1554" s="1" t="s">
        <v>1578</v>
      </c>
      <c r="B1554" s="2">
        <v>45838</v>
      </c>
      <c r="C1554" s="1" t="s">
        <v>16</v>
      </c>
      <c r="D1554" s="1" t="s">
        <v>13</v>
      </c>
      <c r="E1554" s="1" t="s">
        <v>14</v>
      </c>
      <c r="F1554" s="1">
        <v>70</v>
      </c>
      <c r="G1554" s="1">
        <v>10.62</v>
      </c>
      <c r="H1554" s="1">
        <v>743.4</v>
      </c>
      <c r="I1554" s="1">
        <v>576.33000000000004</v>
      </c>
      <c r="J1554" s="1">
        <v>167.07</v>
      </c>
      <c r="K1554" s="8" t="str">
        <f t="shared" si="24"/>
        <v>Jun</v>
      </c>
    </row>
    <row r="1555" spans="1:11">
      <c r="A1555" s="1" t="s">
        <v>1579</v>
      </c>
      <c r="B1555" s="2">
        <v>45972</v>
      </c>
      <c r="C1555" s="1" t="s">
        <v>16</v>
      </c>
      <c r="D1555" s="1" t="s">
        <v>13</v>
      </c>
      <c r="E1555" s="1" t="s">
        <v>20</v>
      </c>
      <c r="F1555" s="1">
        <v>44</v>
      </c>
      <c r="G1555" s="1">
        <v>38.229999999999997</v>
      </c>
      <c r="H1555" s="1">
        <v>1682.12</v>
      </c>
      <c r="I1555" s="1">
        <v>1159.95</v>
      </c>
      <c r="J1555" s="1">
        <v>522.16999999999996</v>
      </c>
      <c r="K1555" s="8" t="str">
        <f t="shared" si="24"/>
        <v>Nov</v>
      </c>
    </row>
    <row r="1556" spans="1:11">
      <c r="A1556" s="1" t="s">
        <v>1580</v>
      </c>
      <c r="B1556" s="2">
        <v>45991</v>
      </c>
      <c r="C1556" s="1" t="s">
        <v>16</v>
      </c>
      <c r="D1556" s="1" t="s">
        <v>13</v>
      </c>
      <c r="E1556" s="1" t="s">
        <v>23</v>
      </c>
      <c r="F1556" s="1">
        <v>177</v>
      </c>
      <c r="G1556" s="1">
        <v>33.299999999999997</v>
      </c>
      <c r="H1556" s="1">
        <v>5894.1</v>
      </c>
      <c r="I1556" s="1">
        <v>3712.44</v>
      </c>
      <c r="J1556" s="1">
        <v>2181.66</v>
      </c>
      <c r="K1556" s="8" t="str">
        <f t="shared" si="24"/>
        <v>Nov</v>
      </c>
    </row>
    <row r="1557" spans="1:11">
      <c r="A1557" s="1" t="s">
        <v>1581</v>
      </c>
      <c r="B1557" s="2">
        <v>45860</v>
      </c>
      <c r="C1557" s="1" t="s">
        <v>12</v>
      </c>
      <c r="D1557" s="1" t="s">
        <v>17</v>
      </c>
      <c r="E1557" s="1" t="s">
        <v>20</v>
      </c>
      <c r="F1557" s="1">
        <v>278</v>
      </c>
      <c r="G1557" s="1">
        <v>30.62</v>
      </c>
      <c r="H1557" s="1">
        <v>8512.36</v>
      </c>
      <c r="I1557" s="1">
        <v>5412.34</v>
      </c>
      <c r="J1557" s="1">
        <v>3100.02</v>
      </c>
      <c r="K1557" s="8" t="str">
        <f t="shared" si="24"/>
        <v>Jul</v>
      </c>
    </row>
    <row r="1558" spans="1:11">
      <c r="A1558" s="1" t="s">
        <v>1582</v>
      </c>
      <c r="B1558" s="2">
        <v>45787</v>
      </c>
      <c r="C1558" s="1" t="s">
        <v>36</v>
      </c>
      <c r="D1558" s="1" t="s">
        <v>17</v>
      </c>
      <c r="E1558" s="1" t="s">
        <v>18</v>
      </c>
      <c r="F1558" s="1">
        <v>105</v>
      </c>
      <c r="G1558" s="1">
        <v>34.590000000000003</v>
      </c>
      <c r="H1558" s="1">
        <v>3631.95</v>
      </c>
      <c r="I1558" s="1">
        <v>2877.08</v>
      </c>
      <c r="J1558" s="1">
        <v>754.87</v>
      </c>
      <c r="K1558" s="8" t="str">
        <f t="shared" si="24"/>
        <v>May</v>
      </c>
    </row>
    <row r="1559" spans="1:11">
      <c r="A1559" s="1" t="s">
        <v>1583</v>
      </c>
      <c r="B1559" s="2">
        <v>45897</v>
      </c>
      <c r="C1559" s="1" t="s">
        <v>22</v>
      </c>
      <c r="D1559" s="1" t="s">
        <v>17</v>
      </c>
      <c r="E1559" s="1" t="s">
        <v>14</v>
      </c>
      <c r="F1559" s="1">
        <v>73</v>
      </c>
      <c r="G1559" s="1">
        <v>17.03</v>
      </c>
      <c r="H1559" s="1">
        <v>1243.19</v>
      </c>
      <c r="I1559" s="1">
        <v>887.65</v>
      </c>
      <c r="J1559" s="1">
        <v>355.54</v>
      </c>
      <c r="K1559" s="8" t="str">
        <f t="shared" si="24"/>
        <v>Aug</v>
      </c>
    </row>
    <row r="1560" spans="1:11">
      <c r="A1560" s="1" t="s">
        <v>1584</v>
      </c>
      <c r="B1560" s="2">
        <v>45939</v>
      </c>
      <c r="C1560" s="1" t="s">
        <v>36</v>
      </c>
      <c r="D1560" s="1" t="s">
        <v>17</v>
      </c>
      <c r="E1560" s="1" t="s">
        <v>18</v>
      </c>
      <c r="F1560" s="1">
        <v>257</v>
      </c>
      <c r="G1560" s="1">
        <v>26.89</v>
      </c>
      <c r="H1560" s="1">
        <v>6910.73</v>
      </c>
      <c r="I1560" s="1">
        <v>5387.57</v>
      </c>
      <c r="J1560" s="1">
        <v>1523.16</v>
      </c>
      <c r="K1560" s="8" t="str">
        <f t="shared" si="24"/>
        <v>Oct</v>
      </c>
    </row>
    <row r="1561" spans="1:11">
      <c r="A1561" s="1" t="s">
        <v>1585</v>
      </c>
      <c r="B1561" s="2">
        <v>45782</v>
      </c>
      <c r="C1561" s="1" t="s">
        <v>16</v>
      </c>
      <c r="D1561" s="1" t="s">
        <v>17</v>
      </c>
      <c r="E1561" s="1" t="s">
        <v>33</v>
      </c>
      <c r="F1561" s="1">
        <v>12</v>
      </c>
      <c r="G1561" s="1">
        <v>26.93</v>
      </c>
      <c r="H1561" s="1">
        <v>323.16000000000003</v>
      </c>
      <c r="I1561" s="1">
        <v>214.04</v>
      </c>
      <c r="J1561" s="1">
        <v>109.12</v>
      </c>
      <c r="K1561" s="8" t="str">
        <f t="shared" si="24"/>
        <v>May</v>
      </c>
    </row>
    <row r="1562" spans="1:11">
      <c r="A1562" s="1" t="s">
        <v>1586</v>
      </c>
      <c r="B1562" s="2">
        <v>45831</v>
      </c>
      <c r="C1562" s="1" t="s">
        <v>12</v>
      </c>
      <c r="D1562" s="1" t="s">
        <v>17</v>
      </c>
      <c r="E1562" s="1" t="s">
        <v>18</v>
      </c>
      <c r="F1562" s="1">
        <v>144</v>
      </c>
      <c r="G1562" s="1">
        <v>22.6</v>
      </c>
      <c r="H1562" s="1">
        <v>3254.4</v>
      </c>
      <c r="I1562" s="1">
        <v>2305.66</v>
      </c>
      <c r="J1562" s="1">
        <v>948.74</v>
      </c>
      <c r="K1562" s="8" t="str">
        <f t="shared" si="24"/>
        <v>Jun</v>
      </c>
    </row>
    <row r="1563" spans="1:11">
      <c r="A1563" s="1" t="s">
        <v>1587</v>
      </c>
      <c r="B1563" s="2">
        <v>45928</v>
      </c>
      <c r="C1563" s="1" t="s">
        <v>22</v>
      </c>
      <c r="D1563" s="1" t="s">
        <v>17</v>
      </c>
      <c r="E1563" s="1" t="s">
        <v>14</v>
      </c>
      <c r="F1563" s="1">
        <v>84</v>
      </c>
      <c r="G1563" s="1">
        <v>25.78</v>
      </c>
      <c r="H1563" s="1">
        <v>2165.52</v>
      </c>
      <c r="I1563" s="1">
        <v>1543.41</v>
      </c>
      <c r="J1563" s="1">
        <v>622.11</v>
      </c>
      <c r="K1563" s="8" t="str">
        <f t="shared" si="24"/>
        <v>Sep</v>
      </c>
    </row>
    <row r="1564" spans="1:11">
      <c r="A1564" s="1" t="s">
        <v>1588</v>
      </c>
      <c r="B1564" s="2">
        <v>45869</v>
      </c>
      <c r="C1564" s="1" t="s">
        <v>22</v>
      </c>
      <c r="D1564" s="1" t="s">
        <v>29</v>
      </c>
      <c r="E1564" s="1" t="s">
        <v>18</v>
      </c>
      <c r="F1564" s="1">
        <v>183</v>
      </c>
      <c r="G1564" s="1">
        <v>30.85</v>
      </c>
      <c r="H1564" s="1">
        <v>5645.55</v>
      </c>
      <c r="I1564" s="1">
        <v>4007.04</v>
      </c>
      <c r="J1564" s="1">
        <v>1638.51</v>
      </c>
      <c r="K1564" s="8" t="str">
        <f t="shared" si="24"/>
        <v>Jul</v>
      </c>
    </row>
    <row r="1565" spans="1:11">
      <c r="A1565" s="1" t="s">
        <v>1589</v>
      </c>
      <c r="B1565" s="2">
        <v>45998</v>
      </c>
      <c r="C1565" s="1" t="s">
        <v>28</v>
      </c>
      <c r="D1565" s="1" t="s">
        <v>29</v>
      </c>
      <c r="E1565" s="1" t="s">
        <v>20</v>
      </c>
      <c r="F1565" s="1">
        <v>41</v>
      </c>
      <c r="G1565" s="1">
        <v>12.72</v>
      </c>
      <c r="H1565" s="1">
        <v>521.52</v>
      </c>
      <c r="I1565" s="1">
        <v>409.6</v>
      </c>
      <c r="J1565" s="1">
        <v>111.92</v>
      </c>
      <c r="K1565" s="8" t="str">
        <f t="shared" si="24"/>
        <v>Dec</v>
      </c>
    </row>
    <row r="1566" spans="1:11">
      <c r="A1566" s="1" t="s">
        <v>1590</v>
      </c>
      <c r="B1566" s="2">
        <v>45880</v>
      </c>
      <c r="C1566" s="1" t="s">
        <v>22</v>
      </c>
      <c r="D1566" s="1" t="s">
        <v>29</v>
      </c>
      <c r="E1566" s="1" t="s">
        <v>20</v>
      </c>
      <c r="F1566" s="1">
        <v>195</v>
      </c>
      <c r="G1566" s="1">
        <v>11.8</v>
      </c>
      <c r="H1566" s="1">
        <v>2301</v>
      </c>
      <c r="I1566" s="1">
        <v>1659.96</v>
      </c>
      <c r="J1566" s="1">
        <v>641.04</v>
      </c>
      <c r="K1566" s="8" t="str">
        <f t="shared" si="24"/>
        <v>Aug</v>
      </c>
    </row>
    <row r="1567" spans="1:11">
      <c r="A1567" s="1" t="s">
        <v>1591</v>
      </c>
      <c r="B1567" s="2">
        <v>45778</v>
      </c>
      <c r="C1567" s="1" t="s">
        <v>36</v>
      </c>
      <c r="D1567" s="1" t="s">
        <v>29</v>
      </c>
      <c r="E1567" s="1" t="s">
        <v>26</v>
      </c>
      <c r="F1567" s="1">
        <v>176</v>
      </c>
      <c r="G1567" s="1">
        <v>37.76</v>
      </c>
      <c r="H1567" s="1">
        <v>6645.76</v>
      </c>
      <c r="I1567" s="1">
        <v>4005.55</v>
      </c>
      <c r="J1567" s="1">
        <v>2640.21</v>
      </c>
      <c r="K1567" s="8" t="str">
        <f t="shared" si="24"/>
        <v>May</v>
      </c>
    </row>
    <row r="1568" spans="1:11">
      <c r="A1568" s="1" t="s">
        <v>1592</v>
      </c>
      <c r="B1568" s="2">
        <v>45907</v>
      </c>
      <c r="C1568" s="1" t="s">
        <v>28</v>
      </c>
      <c r="D1568" s="1" t="s">
        <v>29</v>
      </c>
      <c r="E1568" s="1" t="s">
        <v>18</v>
      </c>
      <c r="F1568" s="1">
        <v>225</v>
      </c>
      <c r="G1568" s="1">
        <v>19.989999999999998</v>
      </c>
      <c r="H1568" s="1">
        <v>4497.75</v>
      </c>
      <c r="I1568" s="1">
        <v>3327.2</v>
      </c>
      <c r="J1568" s="1">
        <v>1170.55</v>
      </c>
      <c r="K1568" s="8" t="str">
        <f t="shared" si="24"/>
        <v>Sep</v>
      </c>
    </row>
    <row r="1569" spans="1:11">
      <c r="A1569" s="1" t="s">
        <v>1593</v>
      </c>
      <c r="B1569" s="2">
        <v>45829</v>
      </c>
      <c r="C1569" s="1" t="s">
        <v>22</v>
      </c>
      <c r="D1569" s="1" t="s">
        <v>13</v>
      </c>
      <c r="E1569" s="1" t="s">
        <v>14</v>
      </c>
      <c r="F1569" s="1">
        <v>108</v>
      </c>
      <c r="G1569" s="1">
        <v>39.82</v>
      </c>
      <c r="H1569" s="1">
        <v>4300.5600000000004</v>
      </c>
      <c r="I1569" s="1">
        <v>2872.91</v>
      </c>
      <c r="J1569" s="1">
        <v>1427.65</v>
      </c>
      <c r="K1569" s="8" t="str">
        <f t="shared" si="24"/>
        <v>Jun</v>
      </c>
    </row>
    <row r="1570" spans="1:11">
      <c r="A1570" s="1" t="s">
        <v>1594</v>
      </c>
      <c r="B1570" s="2">
        <v>45909</v>
      </c>
      <c r="C1570" s="1" t="s">
        <v>16</v>
      </c>
      <c r="D1570" s="1" t="s">
        <v>17</v>
      </c>
      <c r="E1570" s="1" t="s">
        <v>20</v>
      </c>
      <c r="F1570" s="1">
        <v>195</v>
      </c>
      <c r="G1570" s="1">
        <v>24.98</v>
      </c>
      <c r="H1570" s="1">
        <v>4871.1000000000004</v>
      </c>
      <c r="I1570" s="1">
        <v>3744.5</v>
      </c>
      <c r="J1570" s="1">
        <v>1126.5999999999999</v>
      </c>
      <c r="K1570" s="8" t="str">
        <f t="shared" si="24"/>
        <v>Sep</v>
      </c>
    </row>
    <row r="1571" spans="1:11">
      <c r="A1571" s="1" t="s">
        <v>1595</v>
      </c>
      <c r="B1571" s="2">
        <v>45664</v>
      </c>
      <c r="C1571" s="1" t="s">
        <v>12</v>
      </c>
      <c r="D1571" s="1" t="s">
        <v>29</v>
      </c>
      <c r="E1571" s="1" t="s">
        <v>18</v>
      </c>
      <c r="F1571" s="1">
        <v>261</v>
      </c>
      <c r="G1571" s="1">
        <v>13.49</v>
      </c>
      <c r="H1571" s="1">
        <v>3520.89</v>
      </c>
      <c r="I1571" s="1">
        <v>2560.77</v>
      </c>
      <c r="J1571" s="1">
        <v>960.12</v>
      </c>
      <c r="K1571" s="8" t="str">
        <f t="shared" si="24"/>
        <v>Jan</v>
      </c>
    </row>
    <row r="1572" spans="1:11">
      <c r="A1572" s="1" t="s">
        <v>1596</v>
      </c>
      <c r="B1572" s="2">
        <v>45942</v>
      </c>
      <c r="C1572" s="1" t="s">
        <v>31</v>
      </c>
      <c r="D1572" s="1" t="s">
        <v>29</v>
      </c>
      <c r="E1572" s="1" t="s">
        <v>23</v>
      </c>
      <c r="F1572" s="1">
        <v>263</v>
      </c>
      <c r="G1572" s="1">
        <v>12.16</v>
      </c>
      <c r="H1572" s="1">
        <v>3198.08</v>
      </c>
      <c r="I1572" s="1">
        <v>2364.5300000000002</v>
      </c>
      <c r="J1572" s="1">
        <v>833.55</v>
      </c>
      <c r="K1572" s="8" t="str">
        <f t="shared" si="24"/>
        <v>Oct</v>
      </c>
    </row>
    <row r="1573" spans="1:11">
      <c r="A1573" s="1" t="s">
        <v>1597</v>
      </c>
      <c r="B1573" s="2">
        <v>45743</v>
      </c>
      <c r="C1573" s="1" t="s">
        <v>31</v>
      </c>
      <c r="D1573" s="1" t="s">
        <v>13</v>
      </c>
      <c r="E1573" s="1" t="s">
        <v>20</v>
      </c>
      <c r="F1573" s="1">
        <v>31</v>
      </c>
      <c r="G1573" s="1">
        <v>23.08</v>
      </c>
      <c r="H1573" s="1">
        <v>715.48</v>
      </c>
      <c r="I1573" s="1">
        <v>468.37</v>
      </c>
      <c r="J1573" s="1">
        <v>247.11</v>
      </c>
      <c r="K1573" s="8" t="str">
        <f t="shared" si="24"/>
        <v>Mar</v>
      </c>
    </row>
    <row r="1574" spans="1:11">
      <c r="A1574" s="1" t="s">
        <v>1598</v>
      </c>
      <c r="B1574" s="2">
        <v>45794</v>
      </c>
      <c r="C1574" s="1" t="s">
        <v>16</v>
      </c>
      <c r="D1574" s="1" t="s">
        <v>13</v>
      </c>
      <c r="E1574" s="1" t="s">
        <v>26</v>
      </c>
      <c r="F1574" s="1">
        <v>171</v>
      </c>
      <c r="G1574" s="1">
        <v>20.09</v>
      </c>
      <c r="H1574" s="1">
        <v>3435.39</v>
      </c>
      <c r="I1574" s="1">
        <v>2699.6</v>
      </c>
      <c r="J1574" s="1">
        <v>735.79</v>
      </c>
      <c r="K1574" s="8" t="str">
        <f t="shared" si="24"/>
        <v>May</v>
      </c>
    </row>
    <row r="1575" spans="1:11">
      <c r="A1575" s="1" t="s">
        <v>1599</v>
      </c>
      <c r="B1575" s="2">
        <v>45816</v>
      </c>
      <c r="C1575" s="1" t="s">
        <v>22</v>
      </c>
      <c r="D1575" s="1" t="s">
        <v>13</v>
      </c>
      <c r="E1575" s="1" t="s">
        <v>18</v>
      </c>
      <c r="F1575" s="1">
        <v>177</v>
      </c>
      <c r="G1575" s="1">
        <v>13.07</v>
      </c>
      <c r="H1575" s="1">
        <v>2313.39</v>
      </c>
      <c r="I1575" s="1">
        <v>1699.84</v>
      </c>
      <c r="J1575" s="1">
        <v>613.54999999999995</v>
      </c>
      <c r="K1575" s="8" t="str">
        <f t="shared" si="24"/>
        <v>Jun</v>
      </c>
    </row>
    <row r="1576" spans="1:11">
      <c r="A1576" s="1" t="s">
        <v>1600</v>
      </c>
      <c r="B1576" s="2">
        <v>45873</v>
      </c>
      <c r="C1576" s="1" t="s">
        <v>28</v>
      </c>
      <c r="D1576" s="1" t="s">
        <v>29</v>
      </c>
      <c r="E1576" s="1" t="s">
        <v>23</v>
      </c>
      <c r="F1576" s="1">
        <v>121</v>
      </c>
      <c r="G1576" s="1">
        <v>15.44</v>
      </c>
      <c r="H1576" s="1">
        <v>1868.24</v>
      </c>
      <c r="I1576" s="1">
        <v>1286.68</v>
      </c>
      <c r="J1576" s="1">
        <v>581.55999999999995</v>
      </c>
      <c r="K1576" s="8" t="str">
        <f t="shared" si="24"/>
        <v>Aug</v>
      </c>
    </row>
    <row r="1577" spans="1:11">
      <c r="A1577" s="1" t="s">
        <v>1601</v>
      </c>
      <c r="B1577" s="2">
        <v>45956</v>
      </c>
      <c r="C1577" s="1" t="s">
        <v>36</v>
      </c>
      <c r="D1577" s="1" t="s">
        <v>17</v>
      </c>
      <c r="E1577" s="1" t="s">
        <v>26</v>
      </c>
      <c r="F1577" s="1">
        <v>76</v>
      </c>
      <c r="G1577" s="1">
        <v>12.82</v>
      </c>
      <c r="H1577" s="1">
        <v>974.32</v>
      </c>
      <c r="I1577" s="1">
        <v>610.71</v>
      </c>
      <c r="J1577" s="1">
        <v>363.61</v>
      </c>
      <c r="K1577" s="8" t="str">
        <f t="shared" si="24"/>
        <v>Oct</v>
      </c>
    </row>
    <row r="1578" spans="1:11">
      <c r="A1578" s="1" t="s">
        <v>1602</v>
      </c>
      <c r="B1578" s="2">
        <v>45735</v>
      </c>
      <c r="C1578" s="1" t="s">
        <v>22</v>
      </c>
      <c r="D1578" s="1" t="s">
        <v>17</v>
      </c>
      <c r="E1578" s="1" t="s">
        <v>33</v>
      </c>
      <c r="F1578" s="1">
        <v>239</v>
      </c>
      <c r="G1578" s="1">
        <v>16.2</v>
      </c>
      <c r="H1578" s="1">
        <v>3871.8</v>
      </c>
      <c r="I1578" s="1">
        <v>2520.02</v>
      </c>
      <c r="J1578" s="1">
        <v>1351.78</v>
      </c>
      <c r="K1578" s="8" t="str">
        <f t="shared" si="24"/>
        <v>Mar</v>
      </c>
    </row>
    <row r="1579" spans="1:11">
      <c r="A1579" s="1" t="s">
        <v>1603</v>
      </c>
      <c r="B1579" s="2">
        <v>45896</v>
      </c>
      <c r="C1579" s="1" t="s">
        <v>16</v>
      </c>
      <c r="D1579" s="1" t="s">
        <v>17</v>
      </c>
      <c r="E1579" s="1" t="s">
        <v>33</v>
      </c>
      <c r="F1579" s="1">
        <v>275</v>
      </c>
      <c r="G1579" s="1">
        <v>35.54</v>
      </c>
      <c r="H1579" s="1">
        <v>9773.5</v>
      </c>
      <c r="I1579" s="1">
        <v>6251.43</v>
      </c>
      <c r="J1579" s="1">
        <v>3522.07</v>
      </c>
      <c r="K1579" s="8" t="str">
        <f t="shared" si="24"/>
        <v>Aug</v>
      </c>
    </row>
    <row r="1580" spans="1:11">
      <c r="A1580" s="1" t="s">
        <v>1604</v>
      </c>
      <c r="B1580" s="2">
        <v>45660</v>
      </c>
      <c r="C1580" s="1" t="s">
        <v>12</v>
      </c>
      <c r="D1580" s="1" t="s">
        <v>29</v>
      </c>
      <c r="E1580" s="1" t="s">
        <v>20</v>
      </c>
      <c r="F1580" s="1">
        <v>35</v>
      </c>
      <c r="G1580" s="1">
        <v>36.520000000000003</v>
      </c>
      <c r="H1580" s="1">
        <v>1278.2</v>
      </c>
      <c r="I1580" s="1">
        <v>794.05</v>
      </c>
      <c r="J1580" s="1">
        <v>484.15</v>
      </c>
      <c r="K1580" s="8" t="str">
        <f t="shared" si="24"/>
        <v>Jan</v>
      </c>
    </row>
    <row r="1581" spans="1:11">
      <c r="A1581" s="1" t="s">
        <v>1605</v>
      </c>
      <c r="B1581" s="2">
        <v>45878</v>
      </c>
      <c r="C1581" s="1" t="s">
        <v>22</v>
      </c>
      <c r="D1581" s="1" t="s">
        <v>29</v>
      </c>
      <c r="E1581" s="1" t="s">
        <v>23</v>
      </c>
      <c r="F1581" s="1">
        <v>22</v>
      </c>
      <c r="G1581" s="1">
        <v>35.17</v>
      </c>
      <c r="H1581" s="1">
        <v>773.74</v>
      </c>
      <c r="I1581" s="1">
        <v>567.86</v>
      </c>
      <c r="J1581" s="1">
        <v>205.88</v>
      </c>
      <c r="K1581" s="8" t="str">
        <f t="shared" si="24"/>
        <v>Aug</v>
      </c>
    </row>
    <row r="1582" spans="1:11">
      <c r="A1582" s="1" t="s">
        <v>1606</v>
      </c>
      <c r="B1582" s="2">
        <v>45910</v>
      </c>
      <c r="C1582" s="1" t="s">
        <v>31</v>
      </c>
      <c r="D1582" s="1" t="s">
        <v>13</v>
      </c>
      <c r="E1582" s="1" t="s">
        <v>23</v>
      </c>
      <c r="F1582" s="1">
        <v>183</v>
      </c>
      <c r="G1582" s="1">
        <v>20.37</v>
      </c>
      <c r="H1582" s="1">
        <v>3727.71</v>
      </c>
      <c r="I1582" s="1">
        <v>2441.2399999999998</v>
      </c>
      <c r="J1582" s="1">
        <v>1286.47</v>
      </c>
      <c r="K1582" s="8" t="str">
        <f t="shared" si="24"/>
        <v>Sep</v>
      </c>
    </row>
    <row r="1583" spans="1:11">
      <c r="A1583" s="1" t="s">
        <v>1607</v>
      </c>
      <c r="B1583" s="2">
        <v>46020</v>
      </c>
      <c r="C1583" s="1" t="s">
        <v>12</v>
      </c>
      <c r="D1583" s="1" t="s">
        <v>13</v>
      </c>
      <c r="E1583" s="1" t="s">
        <v>33</v>
      </c>
      <c r="F1583" s="1">
        <v>40</v>
      </c>
      <c r="G1583" s="1">
        <v>29.85</v>
      </c>
      <c r="H1583" s="1">
        <v>1194</v>
      </c>
      <c r="I1583" s="1">
        <v>942.99</v>
      </c>
      <c r="J1583" s="1">
        <v>251.01</v>
      </c>
      <c r="K1583" s="8" t="str">
        <f t="shared" si="24"/>
        <v>Dec</v>
      </c>
    </row>
    <row r="1584" spans="1:11">
      <c r="A1584" s="1" t="s">
        <v>1608</v>
      </c>
      <c r="B1584" s="2">
        <v>45688</v>
      </c>
      <c r="C1584" s="1" t="s">
        <v>36</v>
      </c>
      <c r="D1584" s="1" t="s">
        <v>17</v>
      </c>
      <c r="E1584" s="1" t="s">
        <v>18</v>
      </c>
      <c r="F1584" s="1">
        <v>193</v>
      </c>
      <c r="G1584" s="1">
        <v>16.670000000000002</v>
      </c>
      <c r="H1584" s="1">
        <v>3217.31</v>
      </c>
      <c r="I1584" s="1">
        <v>1981.1</v>
      </c>
      <c r="J1584" s="1">
        <v>1236.21</v>
      </c>
      <c r="K1584" s="8" t="str">
        <f t="shared" si="24"/>
        <v>Jan</v>
      </c>
    </row>
    <row r="1585" spans="1:11">
      <c r="A1585" s="1" t="s">
        <v>1609</v>
      </c>
      <c r="B1585" s="2">
        <v>45898</v>
      </c>
      <c r="C1585" s="1" t="s">
        <v>28</v>
      </c>
      <c r="D1585" s="1" t="s">
        <v>17</v>
      </c>
      <c r="E1585" s="1" t="s">
        <v>14</v>
      </c>
      <c r="F1585" s="1">
        <v>73</v>
      </c>
      <c r="G1585" s="1">
        <v>10.28</v>
      </c>
      <c r="H1585" s="1">
        <v>750.44</v>
      </c>
      <c r="I1585" s="1">
        <v>467.14</v>
      </c>
      <c r="J1585" s="1">
        <v>283.3</v>
      </c>
      <c r="K1585" s="8" t="str">
        <f t="shared" si="24"/>
        <v>Aug</v>
      </c>
    </row>
    <row r="1586" spans="1:11">
      <c r="A1586" s="1" t="s">
        <v>1610</v>
      </c>
      <c r="B1586" s="2">
        <v>45841</v>
      </c>
      <c r="C1586" s="1" t="s">
        <v>28</v>
      </c>
      <c r="D1586" s="1" t="s">
        <v>13</v>
      </c>
      <c r="E1586" s="1" t="s">
        <v>14</v>
      </c>
      <c r="F1586" s="1">
        <v>291</v>
      </c>
      <c r="G1586" s="1">
        <v>23.1</v>
      </c>
      <c r="H1586" s="1">
        <v>6722.1</v>
      </c>
      <c r="I1586" s="1">
        <v>4639.99</v>
      </c>
      <c r="J1586" s="1">
        <v>2082.11</v>
      </c>
      <c r="K1586" s="8" t="str">
        <f t="shared" si="24"/>
        <v>Jul</v>
      </c>
    </row>
    <row r="1587" spans="1:11">
      <c r="A1587" s="1" t="s">
        <v>1611</v>
      </c>
      <c r="B1587" s="2">
        <v>45830</v>
      </c>
      <c r="C1587" s="1" t="s">
        <v>36</v>
      </c>
      <c r="D1587" s="1" t="s">
        <v>29</v>
      </c>
      <c r="E1587" s="1" t="s">
        <v>20</v>
      </c>
      <c r="F1587" s="1">
        <v>41</v>
      </c>
      <c r="G1587" s="1">
        <v>36.53</v>
      </c>
      <c r="H1587" s="1">
        <v>1497.73</v>
      </c>
      <c r="I1587" s="1">
        <v>987.9</v>
      </c>
      <c r="J1587" s="1">
        <v>509.83</v>
      </c>
      <c r="K1587" s="8" t="str">
        <f t="shared" si="24"/>
        <v>Jun</v>
      </c>
    </row>
    <row r="1588" spans="1:11">
      <c r="A1588" s="1" t="s">
        <v>1612</v>
      </c>
      <c r="B1588" s="2">
        <v>45761</v>
      </c>
      <c r="C1588" s="1" t="s">
        <v>22</v>
      </c>
      <c r="D1588" s="1" t="s">
        <v>17</v>
      </c>
      <c r="E1588" s="1" t="s">
        <v>18</v>
      </c>
      <c r="F1588" s="1">
        <v>14</v>
      </c>
      <c r="G1588" s="1">
        <v>15.22</v>
      </c>
      <c r="H1588" s="1">
        <v>213.08</v>
      </c>
      <c r="I1588" s="1">
        <v>139.59</v>
      </c>
      <c r="J1588" s="1">
        <v>73.489999999999995</v>
      </c>
      <c r="K1588" s="8" t="str">
        <f t="shared" si="24"/>
        <v>Apr</v>
      </c>
    </row>
    <row r="1589" spans="1:11">
      <c r="A1589" s="1" t="s">
        <v>1613</v>
      </c>
      <c r="B1589" s="2">
        <v>45690</v>
      </c>
      <c r="C1589" s="1" t="s">
        <v>22</v>
      </c>
      <c r="D1589" s="1" t="s">
        <v>17</v>
      </c>
      <c r="E1589" s="1" t="s">
        <v>20</v>
      </c>
      <c r="F1589" s="1">
        <v>174</v>
      </c>
      <c r="G1589" s="1">
        <v>29.47</v>
      </c>
      <c r="H1589" s="1">
        <v>5127.78</v>
      </c>
      <c r="I1589" s="1">
        <v>3816.92</v>
      </c>
      <c r="J1589" s="1">
        <v>1310.86</v>
      </c>
      <c r="K1589" s="8" t="str">
        <f t="shared" si="24"/>
        <v>Feb</v>
      </c>
    </row>
    <row r="1590" spans="1:11">
      <c r="A1590" s="1" t="s">
        <v>1614</v>
      </c>
      <c r="B1590" s="2">
        <v>45880</v>
      </c>
      <c r="C1590" s="1" t="s">
        <v>22</v>
      </c>
      <c r="D1590" s="1" t="s">
        <v>29</v>
      </c>
      <c r="E1590" s="1" t="s">
        <v>23</v>
      </c>
      <c r="F1590" s="1">
        <v>150</v>
      </c>
      <c r="G1590" s="1">
        <v>29.53</v>
      </c>
      <c r="H1590" s="1">
        <v>4429.5</v>
      </c>
      <c r="I1590" s="1">
        <v>3239.93</v>
      </c>
      <c r="J1590" s="1">
        <v>1189.57</v>
      </c>
      <c r="K1590" s="8" t="str">
        <f t="shared" si="24"/>
        <v>Aug</v>
      </c>
    </row>
    <row r="1591" spans="1:11">
      <c r="A1591" s="1" t="s">
        <v>1615</v>
      </c>
      <c r="B1591" s="2">
        <v>45808</v>
      </c>
      <c r="C1591" s="1" t="s">
        <v>36</v>
      </c>
      <c r="D1591" s="1" t="s">
        <v>29</v>
      </c>
      <c r="E1591" s="1" t="s">
        <v>26</v>
      </c>
      <c r="F1591" s="1">
        <v>62</v>
      </c>
      <c r="G1591" s="1">
        <v>11.8</v>
      </c>
      <c r="H1591" s="1">
        <v>731.6</v>
      </c>
      <c r="I1591" s="1">
        <v>531.27</v>
      </c>
      <c r="J1591" s="1">
        <v>200.33</v>
      </c>
      <c r="K1591" s="8" t="str">
        <f t="shared" si="24"/>
        <v>May</v>
      </c>
    </row>
    <row r="1592" spans="1:11">
      <c r="A1592" s="1" t="s">
        <v>1616</v>
      </c>
      <c r="B1592" s="2">
        <v>45861</v>
      </c>
      <c r="C1592" s="1" t="s">
        <v>16</v>
      </c>
      <c r="D1592" s="1" t="s">
        <v>13</v>
      </c>
      <c r="E1592" s="1" t="s">
        <v>23</v>
      </c>
      <c r="F1592" s="1">
        <v>239</v>
      </c>
      <c r="G1592" s="1">
        <v>10.52</v>
      </c>
      <c r="H1592" s="1">
        <v>2514.2800000000002</v>
      </c>
      <c r="I1592" s="1">
        <v>1573.57</v>
      </c>
      <c r="J1592" s="1">
        <v>940.71</v>
      </c>
      <c r="K1592" s="8" t="str">
        <f t="shared" si="24"/>
        <v>Jul</v>
      </c>
    </row>
    <row r="1593" spans="1:11">
      <c r="A1593" s="1" t="s">
        <v>1617</v>
      </c>
      <c r="B1593" s="2">
        <v>45796</v>
      </c>
      <c r="C1593" s="1" t="s">
        <v>28</v>
      </c>
      <c r="D1593" s="1" t="s">
        <v>13</v>
      </c>
      <c r="E1593" s="1" t="s">
        <v>18</v>
      </c>
      <c r="F1593" s="1">
        <v>277</v>
      </c>
      <c r="G1593" s="1">
        <v>15.08</v>
      </c>
      <c r="H1593" s="1">
        <v>4177.16</v>
      </c>
      <c r="I1593" s="1">
        <v>3315.41</v>
      </c>
      <c r="J1593" s="1">
        <v>861.75</v>
      </c>
      <c r="K1593" s="8" t="str">
        <f t="shared" si="24"/>
        <v>May</v>
      </c>
    </row>
    <row r="1594" spans="1:11">
      <c r="A1594" s="1" t="s">
        <v>1618</v>
      </c>
      <c r="B1594" s="2">
        <v>45676</v>
      </c>
      <c r="C1594" s="1" t="s">
        <v>16</v>
      </c>
      <c r="D1594" s="1" t="s">
        <v>17</v>
      </c>
      <c r="E1594" s="1" t="s">
        <v>33</v>
      </c>
      <c r="F1594" s="1">
        <v>258</v>
      </c>
      <c r="G1594" s="1">
        <v>38.869999999999997</v>
      </c>
      <c r="H1594" s="1">
        <v>10028.459999999999</v>
      </c>
      <c r="I1594" s="1">
        <v>7793.48</v>
      </c>
      <c r="J1594" s="1">
        <v>2234.98</v>
      </c>
      <c r="K1594" s="8" t="str">
        <f t="shared" si="24"/>
        <v>Jan</v>
      </c>
    </row>
    <row r="1595" spans="1:11">
      <c r="A1595" s="1" t="s">
        <v>1619</v>
      </c>
      <c r="B1595" s="2">
        <v>45941</v>
      </c>
      <c r="C1595" s="1" t="s">
        <v>36</v>
      </c>
      <c r="D1595" s="1" t="s">
        <v>13</v>
      </c>
      <c r="E1595" s="1" t="s">
        <v>33</v>
      </c>
      <c r="F1595" s="1">
        <v>270</v>
      </c>
      <c r="G1595" s="1">
        <v>20.02</v>
      </c>
      <c r="H1595" s="1">
        <v>5405.4</v>
      </c>
      <c r="I1595" s="1">
        <v>3492.99</v>
      </c>
      <c r="J1595" s="1">
        <v>1912.41</v>
      </c>
      <c r="K1595" s="8" t="str">
        <f t="shared" si="24"/>
        <v>Oct</v>
      </c>
    </row>
    <row r="1596" spans="1:11">
      <c r="A1596" s="1" t="s">
        <v>1620</v>
      </c>
      <c r="B1596" s="2">
        <v>45879</v>
      </c>
      <c r="C1596" s="1" t="s">
        <v>31</v>
      </c>
      <c r="D1596" s="1" t="s">
        <v>17</v>
      </c>
      <c r="E1596" s="1" t="s">
        <v>33</v>
      </c>
      <c r="F1596" s="1">
        <v>69</v>
      </c>
      <c r="G1596" s="1">
        <v>14.62</v>
      </c>
      <c r="H1596" s="1">
        <v>1008.78</v>
      </c>
      <c r="I1596" s="1">
        <v>629.16999999999996</v>
      </c>
      <c r="J1596" s="1">
        <v>379.61</v>
      </c>
      <c r="K1596" s="8" t="str">
        <f t="shared" si="24"/>
        <v>Aug</v>
      </c>
    </row>
    <row r="1597" spans="1:11">
      <c r="A1597" s="1" t="s">
        <v>1621</v>
      </c>
      <c r="B1597" s="2">
        <v>45858</v>
      </c>
      <c r="C1597" s="1" t="s">
        <v>16</v>
      </c>
      <c r="D1597" s="1" t="s">
        <v>17</v>
      </c>
      <c r="E1597" s="1" t="s">
        <v>23</v>
      </c>
      <c r="F1597" s="1">
        <v>38</v>
      </c>
      <c r="G1597" s="1">
        <v>25.71</v>
      </c>
      <c r="H1597" s="1">
        <v>976.98</v>
      </c>
      <c r="I1597" s="1">
        <v>739.1</v>
      </c>
      <c r="J1597" s="1">
        <v>237.88</v>
      </c>
      <c r="K1597" s="8" t="str">
        <f t="shared" si="24"/>
        <v>Jul</v>
      </c>
    </row>
    <row r="1598" spans="1:11">
      <c r="A1598" s="1" t="s">
        <v>1622</v>
      </c>
      <c r="B1598" s="2">
        <v>45948</v>
      </c>
      <c r="C1598" s="1" t="s">
        <v>12</v>
      </c>
      <c r="D1598" s="1" t="s">
        <v>29</v>
      </c>
      <c r="E1598" s="1" t="s">
        <v>33</v>
      </c>
      <c r="F1598" s="1">
        <v>26</v>
      </c>
      <c r="G1598" s="1">
        <v>31.54</v>
      </c>
      <c r="H1598" s="1">
        <v>820.04</v>
      </c>
      <c r="I1598" s="1">
        <v>548.13</v>
      </c>
      <c r="J1598" s="1">
        <v>271.91000000000003</v>
      </c>
      <c r="K1598" s="8" t="str">
        <f t="shared" si="24"/>
        <v>Oct</v>
      </c>
    </row>
    <row r="1599" spans="1:11">
      <c r="A1599" s="1" t="s">
        <v>1623</v>
      </c>
      <c r="B1599" s="2">
        <v>45820</v>
      </c>
      <c r="C1599" s="1" t="s">
        <v>16</v>
      </c>
      <c r="D1599" s="1" t="s">
        <v>17</v>
      </c>
      <c r="E1599" s="1" t="s">
        <v>20</v>
      </c>
      <c r="F1599" s="1">
        <v>205</v>
      </c>
      <c r="G1599" s="1">
        <v>19</v>
      </c>
      <c r="H1599" s="1">
        <v>3895</v>
      </c>
      <c r="I1599" s="1">
        <v>2873.52</v>
      </c>
      <c r="J1599" s="1">
        <v>1021.48</v>
      </c>
      <c r="K1599" s="8" t="str">
        <f t="shared" si="24"/>
        <v>Jun</v>
      </c>
    </row>
    <row r="1600" spans="1:11">
      <c r="A1600" s="1" t="s">
        <v>1624</v>
      </c>
      <c r="B1600" s="2">
        <v>45927</v>
      </c>
      <c r="C1600" s="1" t="s">
        <v>31</v>
      </c>
      <c r="D1600" s="1" t="s">
        <v>17</v>
      </c>
      <c r="E1600" s="1" t="s">
        <v>18</v>
      </c>
      <c r="F1600" s="1">
        <v>257</v>
      </c>
      <c r="G1600" s="1">
        <v>21.45</v>
      </c>
      <c r="H1600" s="1">
        <v>5512.65</v>
      </c>
      <c r="I1600" s="1">
        <v>4157.05</v>
      </c>
      <c r="J1600" s="1">
        <v>1355.6</v>
      </c>
      <c r="K1600" s="8" t="str">
        <f t="shared" si="24"/>
        <v>Sep</v>
      </c>
    </row>
    <row r="1601" spans="1:11">
      <c r="A1601" s="1" t="s">
        <v>1625</v>
      </c>
      <c r="B1601" s="2">
        <v>45973</v>
      </c>
      <c r="C1601" s="1" t="s">
        <v>12</v>
      </c>
      <c r="D1601" s="1" t="s">
        <v>13</v>
      </c>
      <c r="E1601" s="1" t="s">
        <v>33</v>
      </c>
      <c r="F1601" s="1">
        <v>251</v>
      </c>
      <c r="G1601" s="1">
        <v>14.63</v>
      </c>
      <c r="H1601" s="1">
        <v>3672.13</v>
      </c>
      <c r="I1601" s="1">
        <v>2921.9</v>
      </c>
      <c r="J1601" s="1">
        <v>750.23</v>
      </c>
      <c r="K1601" s="8" t="str">
        <f t="shared" si="24"/>
        <v>Nov</v>
      </c>
    </row>
    <row r="1602" spans="1:11">
      <c r="A1602" s="1" t="s">
        <v>1626</v>
      </c>
      <c r="B1602" s="2">
        <v>45735</v>
      </c>
      <c r="C1602" s="1" t="s">
        <v>36</v>
      </c>
      <c r="D1602" s="1" t="s">
        <v>29</v>
      </c>
      <c r="E1602" s="1" t="s">
        <v>26</v>
      </c>
      <c r="F1602" s="1">
        <v>221</v>
      </c>
      <c r="G1602" s="1">
        <v>38.21</v>
      </c>
      <c r="H1602" s="1">
        <v>8444.41</v>
      </c>
      <c r="I1602" s="1">
        <v>5517.7</v>
      </c>
      <c r="J1602" s="1">
        <v>2926.71</v>
      </c>
      <c r="K1602" s="8" t="str">
        <f t="shared" ref="K1602:K1665" si="25">TEXT(B1602,"mmm")</f>
        <v>Mar</v>
      </c>
    </row>
    <row r="1603" spans="1:11">
      <c r="A1603" s="1" t="s">
        <v>1627</v>
      </c>
      <c r="B1603" s="2">
        <v>45807</v>
      </c>
      <c r="C1603" s="1" t="s">
        <v>16</v>
      </c>
      <c r="D1603" s="1" t="s">
        <v>13</v>
      </c>
      <c r="E1603" s="1" t="s">
        <v>20</v>
      </c>
      <c r="F1603" s="1">
        <v>115</v>
      </c>
      <c r="G1603" s="1">
        <v>27.61</v>
      </c>
      <c r="H1603" s="1">
        <v>3175.15</v>
      </c>
      <c r="I1603" s="1">
        <v>2196.61</v>
      </c>
      <c r="J1603" s="1">
        <v>978.54</v>
      </c>
      <c r="K1603" s="8" t="str">
        <f t="shared" si="25"/>
        <v>May</v>
      </c>
    </row>
    <row r="1604" spans="1:11">
      <c r="A1604" s="1" t="s">
        <v>1628</v>
      </c>
      <c r="B1604" s="2">
        <v>46010</v>
      </c>
      <c r="C1604" s="1" t="s">
        <v>22</v>
      </c>
      <c r="D1604" s="1" t="s">
        <v>17</v>
      </c>
      <c r="E1604" s="1" t="s">
        <v>20</v>
      </c>
      <c r="F1604" s="1">
        <v>182</v>
      </c>
      <c r="G1604" s="1">
        <v>38.270000000000003</v>
      </c>
      <c r="H1604" s="1">
        <v>6965.14</v>
      </c>
      <c r="I1604" s="1">
        <v>4385.49</v>
      </c>
      <c r="J1604" s="1">
        <v>2579.65</v>
      </c>
      <c r="K1604" s="8" t="str">
        <f t="shared" si="25"/>
        <v>Dec</v>
      </c>
    </row>
    <row r="1605" spans="1:11">
      <c r="A1605" s="1" t="s">
        <v>1629</v>
      </c>
      <c r="B1605" s="2">
        <v>45796</v>
      </c>
      <c r="C1605" s="1" t="s">
        <v>22</v>
      </c>
      <c r="D1605" s="1" t="s">
        <v>17</v>
      </c>
      <c r="E1605" s="1" t="s">
        <v>23</v>
      </c>
      <c r="F1605" s="1">
        <v>299</v>
      </c>
      <c r="G1605" s="1">
        <v>19.670000000000002</v>
      </c>
      <c r="H1605" s="1">
        <v>5881.33</v>
      </c>
      <c r="I1605" s="1">
        <v>3904.29</v>
      </c>
      <c r="J1605" s="1">
        <v>1977.04</v>
      </c>
      <c r="K1605" s="8" t="str">
        <f t="shared" si="25"/>
        <v>May</v>
      </c>
    </row>
    <row r="1606" spans="1:11">
      <c r="A1606" s="1" t="s">
        <v>1630</v>
      </c>
      <c r="B1606" s="2">
        <v>46000</v>
      </c>
      <c r="C1606" s="1" t="s">
        <v>12</v>
      </c>
      <c r="D1606" s="1" t="s">
        <v>17</v>
      </c>
      <c r="E1606" s="1" t="s">
        <v>18</v>
      </c>
      <c r="F1606" s="1">
        <v>52</v>
      </c>
      <c r="G1606" s="1">
        <v>22.52</v>
      </c>
      <c r="H1606" s="1">
        <v>1171.04</v>
      </c>
      <c r="I1606" s="1">
        <v>868.16</v>
      </c>
      <c r="J1606" s="1">
        <v>302.88</v>
      </c>
      <c r="K1606" s="8" t="str">
        <f t="shared" si="25"/>
        <v>Dec</v>
      </c>
    </row>
    <row r="1607" spans="1:11">
      <c r="A1607" s="1" t="s">
        <v>1631</v>
      </c>
      <c r="B1607" s="2">
        <v>45838</v>
      </c>
      <c r="C1607" s="1" t="s">
        <v>16</v>
      </c>
      <c r="D1607" s="1" t="s">
        <v>17</v>
      </c>
      <c r="E1607" s="1" t="s">
        <v>20</v>
      </c>
      <c r="F1607" s="1">
        <v>20</v>
      </c>
      <c r="G1607" s="1">
        <v>16.899999999999999</v>
      </c>
      <c r="H1607" s="1">
        <v>338</v>
      </c>
      <c r="I1607" s="1">
        <v>246.75</v>
      </c>
      <c r="J1607" s="1">
        <v>91.25</v>
      </c>
      <c r="K1607" s="8" t="str">
        <f t="shared" si="25"/>
        <v>Jun</v>
      </c>
    </row>
    <row r="1608" spans="1:11">
      <c r="A1608" s="1" t="s">
        <v>1632</v>
      </c>
      <c r="B1608" s="2">
        <v>45886</v>
      </c>
      <c r="C1608" s="1" t="s">
        <v>16</v>
      </c>
      <c r="D1608" s="1" t="s">
        <v>13</v>
      </c>
      <c r="E1608" s="1" t="s">
        <v>18</v>
      </c>
      <c r="F1608" s="1">
        <v>242</v>
      </c>
      <c r="G1608" s="1">
        <v>31.66</v>
      </c>
      <c r="H1608" s="1">
        <v>7661.72</v>
      </c>
      <c r="I1608" s="1">
        <v>6118.34</v>
      </c>
      <c r="J1608" s="1">
        <v>1543.38</v>
      </c>
      <c r="K1608" s="8" t="str">
        <f t="shared" si="25"/>
        <v>Aug</v>
      </c>
    </row>
    <row r="1609" spans="1:11">
      <c r="A1609" s="1" t="s">
        <v>1633</v>
      </c>
      <c r="B1609" s="2">
        <v>46012</v>
      </c>
      <c r="C1609" s="1" t="s">
        <v>31</v>
      </c>
      <c r="D1609" s="1" t="s">
        <v>17</v>
      </c>
      <c r="E1609" s="1" t="s">
        <v>23</v>
      </c>
      <c r="F1609" s="1">
        <v>119</v>
      </c>
      <c r="G1609" s="1">
        <v>28.81</v>
      </c>
      <c r="H1609" s="1">
        <v>3428.39</v>
      </c>
      <c r="I1609" s="1">
        <v>2094.37</v>
      </c>
      <c r="J1609" s="1">
        <v>1334.02</v>
      </c>
      <c r="K1609" s="8" t="str">
        <f t="shared" si="25"/>
        <v>Dec</v>
      </c>
    </row>
    <row r="1610" spans="1:11">
      <c r="A1610" s="1" t="s">
        <v>1634</v>
      </c>
      <c r="B1610" s="2">
        <v>45802</v>
      </c>
      <c r="C1610" s="1" t="s">
        <v>31</v>
      </c>
      <c r="D1610" s="1" t="s">
        <v>29</v>
      </c>
      <c r="E1610" s="1" t="s">
        <v>20</v>
      </c>
      <c r="F1610" s="1">
        <v>253</v>
      </c>
      <c r="G1610" s="1">
        <v>18.8</v>
      </c>
      <c r="H1610" s="1">
        <v>4756.3999999999996</v>
      </c>
      <c r="I1610" s="1">
        <v>3403.77</v>
      </c>
      <c r="J1610" s="1">
        <v>1352.63</v>
      </c>
      <c r="K1610" s="8" t="str">
        <f t="shared" si="25"/>
        <v>May</v>
      </c>
    </row>
    <row r="1611" spans="1:11">
      <c r="A1611" s="1" t="s">
        <v>1635</v>
      </c>
      <c r="B1611" s="2">
        <v>45860</v>
      </c>
      <c r="C1611" s="1" t="s">
        <v>12</v>
      </c>
      <c r="D1611" s="1" t="s">
        <v>17</v>
      </c>
      <c r="E1611" s="1" t="s">
        <v>14</v>
      </c>
      <c r="F1611" s="1">
        <v>76</v>
      </c>
      <c r="G1611" s="1">
        <v>20.97</v>
      </c>
      <c r="H1611" s="1">
        <v>1593.72</v>
      </c>
      <c r="I1611" s="1">
        <v>1076.83</v>
      </c>
      <c r="J1611" s="1">
        <v>516.89</v>
      </c>
      <c r="K1611" s="8" t="str">
        <f t="shared" si="25"/>
        <v>Jul</v>
      </c>
    </row>
    <row r="1612" spans="1:11">
      <c r="A1612" s="1" t="s">
        <v>1636</v>
      </c>
      <c r="B1612" s="2">
        <v>45957</v>
      </c>
      <c r="C1612" s="1" t="s">
        <v>16</v>
      </c>
      <c r="D1612" s="1" t="s">
        <v>13</v>
      </c>
      <c r="E1612" s="1" t="s">
        <v>26</v>
      </c>
      <c r="F1612" s="1">
        <v>280</v>
      </c>
      <c r="G1612" s="1">
        <v>36.57</v>
      </c>
      <c r="H1612" s="1">
        <v>10239.6</v>
      </c>
      <c r="I1612" s="1">
        <v>6289.99</v>
      </c>
      <c r="J1612" s="1">
        <v>3949.61</v>
      </c>
      <c r="K1612" s="8" t="str">
        <f t="shared" si="25"/>
        <v>Oct</v>
      </c>
    </row>
    <row r="1613" spans="1:11">
      <c r="A1613" s="1" t="s">
        <v>1637</v>
      </c>
      <c r="B1613" s="2">
        <v>45881</v>
      </c>
      <c r="C1613" s="1" t="s">
        <v>22</v>
      </c>
      <c r="D1613" s="1" t="s">
        <v>17</v>
      </c>
      <c r="E1613" s="1" t="s">
        <v>18</v>
      </c>
      <c r="F1613" s="1">
        <v>168</v>
      </c>
      <c r="G1613" s="1">
        <v>24.51</v>
      </c>
      <c r="H1613" s="1">
        <v>4117.68</v>
      </c>
      <c r="I1613" s="1">
        <v>2587.52</v>
      </c>
      <c r="J1613" s="1">
        <v>1530.16</v>
      </c>
      <c r="K1613" s="8" t="str">
        <f t="shared" si="25"/>
        <v>Aug</v>
      </c>
    </row>
    <row r="1614" spans="1:11">
      <c r="A1614" s="1" t="s">
        <v>1638</v>
      </c>
      <c r="B1614" s="2">
        <v>46020</v>
      </c>
      <c r="C1614" s="1" t="s">
        <v>22</v>
      </c>
      <c r="D1614" s="1" t="s">
        <v>17</v>
      </c>
      <c r="E1614" s="1" t="s">
        <v>23</v>
      </c>
      <c r="F1614" s="1">
        <v>46</v>
      </c>
      <c r="G1614" s="1">
        <v>22.62</v>
      </c>
      <c r="H1614" s="1">
        <v>1040.52</v>
      </c>
      <c r="I1614" s="1">
        <v>758.16</v>
      </c>
      <c r="J1614" s="1">
        <v>282.36</v>
      </c>
      <c r="K1614" s="8" t="str">
        <f t="shared" si="25"/>
        <v>Dec</v>
      </c>
    </row>
    <row r="1615" spans="1:11">
      <c r="A1615" s="1" t="s">
        <v>1639</v>
      </c>
      <c r="B1615" s="2">
        <v>45735</v>
      </c>
      <c r="C1615" s="1" t="s">
        <v>22</v>
      </c>
      <c r="D1615" s="1" t="s">
        <v>13</v>
      </c>
      <c r="E1615" s="1" t="s">
        <v>33</v>
      </c>
      <c r="F1615" s="1">
        <v>20</v>
      </c>
      <c r="G1615" s="1">
        <v>36.549999999999997</v>
      </c>
      <c r="H1615" s="1">
        <v>731</v>
      </c>
      <c r="I1615" s="1">
        <v>459.09</v>
      </c>
      <c r="J1615" s="1">
        <v>271.91000000000003</v>
      </c>
      <c r="K1615" s="8" t="str">
        <f t="shared" si="25"/>
        <v>Mar</v>
      </c>
    </row>
    <row r="1616" spans="1:11">
      <c r="A1616" s="1" t="s">
        <v>1640</v>
      </c>
      <c r="B1616" s="2">
        <v>45679</v>
      </c>
      <c r="C1616" s="1" t="s">
        <v>16</v>
      </c>
      <c r="D1616" s="1" t="s">
        <v>29</v>
      </c>
      <c r="E1616" s="1" t="s">
        <v>14</v>
      </c>
      <c r="F1616" s="1">
        <v>44</v>
      </c>
      <c r="G1616" s="1">
        <v>32.200000000000003</v>
      </c>
      <c r="H1616" s="1">
        <v>1416.8</v>
      </c>
      <c r="I1616" s="1">
        <v>933.7</v>
      </c>
      <c r="J1616" s="1">
        <v>483.1</v>
      </c>
      <c r="K1616" s="8" t="str">
        <f t="shared" si="25"/>
        <v>Jan</v>
      </c>
    </row>
    <row r="1617" spans="1:11">
      <c r="A1617" s="1" t="s">
        <v>1641</v>
      </c>
      <c r="B1617" s="2">
        <v>45822</v>
      </c>
      <c r="C1617" s="1" t="s">
        <v>36</v>
      </c>
      <c r="D1617" s="1" t="s">
        <v>29</v>
      </c>
      <c r="E1617" s="1" t="s">
        <v>14</v>
      </c>
      <c r="F1617" s="1">
        <v>172</v>
      </c>
      <c r="G1617" s="1">
        <v>10.09</v>
      </c>
      <c r="H1617" s="1">
        <v>1735.48</v>
      </c>
      <c r="I1617" s="1">
        <v>1295.69</v>
      </c>
      <c r="J1617" s="1">
        <v>439.79</v>
      </c>
      <c r="K1617" s="8" t="str">
        <f t="shared" si="25"/>
        <v>Jun</v>
      </c>
    </row>
    <row r="1618" spans="1:11">
      <c r="A1618" s="1" t="s">
        <v>1642</v>
      </c>
      <c r="B1618" s="2">
        <v>45845</v>
      </c>
      <c r="C1618" s="1" t="s">
        <v>28</v>
      </c>
      <c r="D1618" s="1" t="s">
        <v>17</v>
      </c>
      <c r="E1618" s="1" t="s">
        <v>20</v>
      </c>
      <c r="F1618" s="1">
        <v>178</v>
      </c>
      <c r="G1618" s="1">
        <v>16.670000000000002</v>
      </c>
      <c r="H1618" s="1">
        <v>2967.26</v>
      </c>
      <c r="I1618" s="1">
        <v>2260.2600000000002</v>
      </c>
      <c r="J1618" s="1">
        <v>707</v>
      </c>
      <c r="K1618" s="8" t="str">
        <f t="shared" si="25"/>
        <v>Jul</v>
      </c>
    </row>
    <row r="1619" spans="1:11">
      <c r="A1619" s="1" t="s">
        <v>1643</v>
      </c>
      <c r="B1619" s="2">
        <v>45759</v>
      </c>
      <c r="C1619" s="1" t="s">
        <v>36</v>
      </c>
      <c r="D1619" s="1" t="s">
        <v>13</v>
      </c>
      <c r="E1619" s="1" t="s">
        <v>18</v>
      </c>
      <c r="F1619" s="1">
        <v>228</v>
      </c>
      <c r="G1619" s="1">
        <v>27.76</v>
      </c>
      <c r="H1619" s="1">
        <v>6329.28</v>
      </c>
      <c r="I1619" s="1">
        <v>4393.1400000000003</v>
      </c>
      <c r="J1619" s="1">
        <v>1936.14</v>
      </c>
      <c r="K1619" s="8" t="str">
        <f t="shared" si="25"/>
        <v>Apr</v>
      </c>
    </row>
    <row r="1620" spans="1:11">
      <c r="A1620" s="1" t="s">
        <v>1644</v>
      </c>
      <c r="B1620" s="2">
        <v>45771</v>
      </c>
      <c r="C1620" s="1" t="s">
        <v>31</v>
      </c>
      <c r="D1620" s="1" t="s">
        <v>17</v>
      </c>
      <c r="E1620" s="1" t="s">
        <v>33</v>
      </c>
      <c r="F1620" s="1">
        <v>58</v>
      </c>
      <c r="G1620" s="1">
        <v>22.01</v>
      </c>
      <c r="H1620" s="1">
        <v>1276.58</v>
      </c>
      <c r="I1620" s="1">
        <v>873.71</v>
      </c>
      <c r="J1620" s="1">
        <v>402.87</v>
      </c>
      <c r="K1620" s="8" t="str">
        <f t="shared" si="25"/>
        <v>Apr</v>
      </c>
    </row>
    <row r="1621" spans="1:11">
      <c r="A1621" s="1" t="s">
        <v>1645</v>
      </c>
      <c r="B1621" s="2">
        <v>45730</v>
      </c>
      <c r="C1621" s="1" t="s">
        <v>31</v>
      </c>
      <c r="D1621" s="1" t="s">
        <v>29</v>
      </c>
      <c r="E1621" s="1" t="s">
        <v>14</v>
      </c>
      <c r="F1621" s="1">
        <v>282</v>
      </c>
      <c r="G1621" s="1">
        <v>38.76</v>
      </c>
      <c r="H1621" s="1">
        <v>10930.32</v>
      </c>
      <c r="I1621" s="1">
        <v>6952.64</v>
      </c>
      <c r="J1621" s="1">
        <v>3977.68</v>
      </c>
      <c r="K1621" s="8" t="str">
        <f t="shared" si="25"/>
        <v>Mar</v>
      </c>
    </row>
    <row r="1622" spans="1:11">
      <c r="A1622" s="1" t="s">
        <v>1646</v>
      </c>
      <c r="B1622" s="2">
        <v>45839</v>
      </c>
      <c r="C1622" s="1" t="s">
        <v>28</v>
      </c>
      <c r="D1622" s="1" t="s">
        <v>17</v>
      </c>
      <c r="E1622" s="1" t="s">
        <v>26</v>
      </c>
      <c r="F1622" s="1">
        <v>10</v>
      </c>
      <c r="G1622" s="1">
        <v>14.67</v>
      </c>
      <c r="H1622" s="1">
        <v>146.69999999999999</v>
      </c>
      <c r="I1622" s="1">
        <v>89.11</v>
      </c>
      <c r="J1622" s="1">
        <v>57.59</v>
      </c>
      <c r="K1622" s="8" t="str">
        <f t="shared" si="25"/>
        <v>Jul</v>
      </c>
    </row>
    <row r="1623" spans="1:11">
      <c r="A1623" s="1" t="s">
        <v>1647</v>
      </c>
      <c r="B1623" s="2">
        <v>46019</v>
      </c>
      <c r="C1623" s="1" t="s">
        <v>36</v>
      </c>
      <c r="D1623" s="1" t="s">
        <v>17</v>
      </c>
      <c r="E1623" s="1" t="s">
        <v>18</v>
      </c>
      <c r="F1623" s="1">
        <v>194</v>
      </c>
      <c r="G1623" s="1">
        <v>33.72</v>
      </c>
      <c r="H1623" s="1">
        <v>6541.68</v>
      </c>
      <c r="I1623" s="1">
        <v>3936.45</v>
      </c>
      <c r="J1623" s="1">
        <v>2605.23</v>
      </c>
      <c r="K1623" s="8" t="str">
        <f t="shared" si="25"/>
        <v>Dec</v>
      </c>
    </row>
    <row r="1624" spans="1:11">
      <c r="A1624" s="1" t="s">
        <v>1648</v>
      </c>
      <c r="B1624" s="2">
        <v>45704</v>
      </c>
      <c r="C1624" s="1" t="s">
        <v>28</v>
      </c>
      <c r="D1624" s="1" t="s">
        <v>29</v>
      </c>
      <c r="E1624" s="1" t="s">
        <v>20</v>
      </c>
      <c r="F1624" s="1">
        <v>89</v>
      </c>
      <c r="G1624" s="1">
        <v>34.94</v>
      </c>
      <c r="H1624" s="1">
        <v>3109.66</v>
      </c>
      <c r="I1624" s="1">
        <v>2339.1999999999998</v>
      </c>
      <c r="J1624" s="1">
        <v>770.46</v>
      </c>
      <c r="K1624" s="8" t="str">
        <f t="shared" si="25"/>
        <v>Feb</v>
      </c>
    </row>
    <row r="1625" spans="1:11">
      <c r="A1625" s="1" t="s">
        <v>1649</v>
      </c>
      <c r="B1625" s="2">
        <v>45875</v>
      </c>
      <c r="C1625" s="1" t="s">
        <v>36</v>
      </c>
      <c r="D1625" s="1" t="s">
        <v>29</v>
      </c>
      <c r="E1625" s="1" t="s">
        <v>33</v>
      </c>
      <c r="F1625" s="1">
        <v>263</v>
      </c>
      <c r="G1625" s="1">
        <v>19.41</v>
      </c>
      <c r="H1625" s="1">
        <v>5104.83</v>
      </c>
      <c r="I1625" s="1">
        <v>3644.57</v>
      </c>
      <c r="J1625" s="1">
        <v>1460.26</v>
      </c>
      <c r="K1625" s="8" t="str">
        <f t="shared" si="25"/>
        <v>Aug</v>
      </c>
    </row>
    <row r="1626" spans="1:11">
      <c r="A1626" s="1" t="s">
        <v>1650</v>
      </c>
      <c r="B1626" s="2">
        <v>45903</v>
      </c>
      <c r="C1626" s="1" t="s">
        <v>36</v>
      </c>
      <c r="D1626" s="1" t="s">
        <v>29</v>
      </c>
      <c r="E1626" s="1" t="s">
        <v>18</v>
      </c>
      <c r="F1626" s="1">
        <v>181</v>
      </c>
      <c r="G1626" s="1">
        <v>27.53</v>
      </c>
      <c r="H1626" s="1">
        <v>4982.93</v>
      </c>
      <c r="I1626" s="1">
        <v>3199.44</v>
      </c>
      <c r="J1626" s="1">
        <v>1783.49</v>
      </c>
      <c r="K1626" s="8" t="str">
        <f t="shared" si="25"/>
        <v>Sep</v>
      </c>
    </row>
    <row r="1627" spans="1:11">
      <c r="A1627" s="1" t="s">
        <v>1651</v>
      </c>
      <c r="B1627" s="2">
        <v>45660</v>
      </c>
      <c r="C1627" s="1" t="s">
        <v>28</v>
      </c>
      <c r="D1627" s="1" t="s">
        <v>29</v>
      </c>
      <c r="E1627" s="1" t="s">
        <v>23</v>
      </c>
      <c r="F1627" s="1">
        <v>64</v>
      </c>
      <c r="G1627" s="1">
        <v>21.44</v>
      </c>
      <c r="H1627" s="1">
        <v>1372.16</v>
      </c>
      <c r="I1627" s="1">
        <v>919.71</v>
      </c>
      <c r="J1627" s="1">
        <v>452.45</v>
      </c>
      <c r="K1627" s="8" t="str">
        <f t="shared" si="25"/>
        <v>Jan</v>
      </c>
    </row>
    <row r="1628" spans="1:11">
      <c r="A1628" s="1" t="s">
        <v>1652</v>
      </c>
      <c r="B1628" s="2">
        <v>45675</v>
      </c>
      <c r="C1628" s="1" t="s">
        <v>12</v>
      </c>
      <c r="D1628" s="1" t="s">
        <v>13</v>
      </c>
      <c r="E1628" s="1" t="s">
        <v>14</v>
      </c>
      <c r="F1628" s="1">
        <v>289</v>
      </c>
      <c r="G1628" s="1">
        <v>18.52</v>
      </c>
      <c r="H1628" s="1">
        <v>5352.28</v>
      </c>
      <c r="I1628" s="1">
        <v>3765.79</v>
      </c>
      <c r="J1628" s="1">
        <v>1586.49</v>
      </c>
      <c r="K1628" s="8" t="str">
        <f t="shared" si="25"/>
        <v>Jan</v>
      </c>
    </row>
    <row r="1629" spans="1:11">
      <c r="A1629" s="1" t="s">
        <v>1653</v>
      </c>
      <c r="B1629" s="2">
        <v>45865</v>
      </c>
      <c r="C1629" s="1" t="s">
        <v>16</v>
      </c>
      <c r="D1629" s="1" t="s">
        <v>13</v>
      </c>
      <c r="E1629" s="1" t="s">
        <v>23</v>
      </c>
      <c r="F1629" s="1">
        <v>32</v>
      </c>
      <c r="G1629" s="1">
        <v>32.590000000000003</v>
      </c>
      <c r="H1629" s="1">
        <v>1042.8800000000001</v>
      </c>
      <c r="I1629" s="1">
        <v>713.57</v>
      </c>
      <c r="J1629" s="1">
        <v>329.31</v>
      </c>
      <c r="K1629" s="8" t="str">
        <f t="shared" si="25"/>
        <v>Jul</v>
      </c>
    </row>
    <row r="1630" spans="1:11">
      <c r="A1630" s="1" t="s">
        <v>1654</v>
      </c>
      <c r="B1630" s="2">
        <v>45737</v>
      </c>
      <c r="C1630" s="1" t="s">
        <v>31</v>
      </c>
      <c r="D1630" s="1" t="s">
        <v>17</v>
      </c>
      <c r="E1630" s="1" t="s">
        <v>18</v>
      </c>
      <c r="F1630" s="1">
        <v>121</v>
      </c>
      <c r="G1630" s="1">
        <v>28.21</v>
      </c>
      <c r="H1630" s="1">
        <v>3413.41</v>
      </c>
      <c r="I1630" s="1">
        <v>2363.7199999999998</v>
      </c>
      <c r="J1630" s="1">
        <v>1049.69</v>
      </c>
      <c r="K1630" s="8" t="str">
        <f t="shared" si="25"/>
        <v>Mar</v>
      </c>
    </row>
    <row r="1631" spans="1:11">
      <c r="A1631" s="1" t="s">
        <v>1655</v>
      </c>
      <c r="B1631" s="2">
        <v>45877</v>
      </c>
      <c r="C1631" s="1" t="s">
        <v>22</v>
      </c>
      <c r="D1631" s="1" t="s">
        <v>13</v>
      </c>
      <c r="E1631" s="1" t="s">
        <v>26</v>
      </c>
      <c r="F1631" s="1">
        <v>259</v>
      </c>
      <c r="G1631" s="1">
        <v>28.81</v>
      </c>
      <c r="H1631" s="1">
        <v>7461.79</v>
      </c>
      <c r="I1631" s="1">
        <v>5934.13</v>
      </c>
      <c r="J1631" s="1">
        <v>1527.66</v>
      </c>
      <c r="K1631" s="8" t="str">
        <f t="shared" si="25"/>
        <v>Aug</v>
      </c>
    </row>
    <row r="1632" spans="1:11">
      <c r="A1632" s="1" t="s">
        <v>1656</v>
      </c>
      <c r="B1632" s="2">
        <v>45853</v>
      </c>
      <c r="C1632" s="1" t="s">
        <v>12</v>
      </c>
      <c r="D1632" s="1" t="s">
        <v>29</v>
      </c>
      <c r="E1632" s="1" t="s">
        <v>20</v>
      </c>
      <c r="F1632" s="1">
        <v>298</v>
      </c>
      <c r="G1632" s="1">
        <v>29.5</v>
      </c>
      <c r="H1632" s="1">
        <v>8791</v>
      </c>
      <c r="I1632" s="1">
        <v>5849.14</v>
      </c>
      <c r="J1632" s="1">
        <v>2941.86</v>
      </c>
      <c r="K1632" s="8" t="str">
        <f t="shared" si="25"/>
        <v>Jul</v>
      </c>
    </row>
    <row r="1633" spans="1:11">
      <c r="A1633" s="1" t="s">
        <v>1657</v>
      </c>
      <c r="B1633" s="2">
        <v>45847</v>
      </c>
      <c r="C1633" s="1" t="s">
        <v>16</v>
      </c>
      <c r="D1633" s="1" t="s">
        <v>17</v>
      </c>
      <c r="E1633" s="1" t="s">
        <v>20</v>
      </c>
      <c r="F1633" s="1">
        <v>262</v>
      </c>
      <c r="G1633" s="1">
        <v>27.57</v>
      </c>
      <c r="H1633" s="1">
        <v>7223.34</v>
      </c>
      <c r="I1633" s="1">
        <v>5408.74</v>
      </c>
      <c r="J1633" s="1">
        <v>1814.6</v>
      </c>
      <c r="K1633" s="8" t="str">
        <f t="shared" si="25"/>
        <v>Jul</v>
      </c>
    </row>
    <row r="1634" spans="1:11">
      <c r="A1634" s="1" t="s">
        <v>1658</v>
      </c>
      <c r="B1634" s="2">
        <v>45660</v>
      </c>
      <c r="C1634" s="1" t="s">
        <v>36</v>
      </c>
      <c r="D1634" s="1" t="s">
        <v>13</v>
      </c>
      <c r="E1634" s="1" t="s">
        <v>33</v>
      </c>
      <c r="F1634" s="1">
        <v>168</v>
      </c>
      <c r="G1634" s="1">
        <v>36.869999999999997</v>
      </c>
      <c r="H1634" s="1">
        <v>6194.16</v>
      </c>
      <c r="I1634" s="1">
        <v>4366.7299999999996</v>
      </c>
      <c r="J1634" s="1">
        <v>1827.43</v>
      </c>
      <c r="K1634" s="8" t="str">
        <f t="shared" si="25"/>
        <v>Jan</v>
      </c>
    </row>
    <row r="1635" spans="1:11">
      <c r="A1635" s="1" t="s">
        <v>1659</v>
      </c>
      <c r="B1635" s="2">
        <v>45855</v>
      </c>
      <c r="C1635" s="1" t="s">
        <v>36</v>
      </c>
      <c r="D1635" s="1" t="s">
        <v>13</v>
      </c>
      <c r="E1635" s="1" t="s">
        <v>14</v>
      </c>
      <c r="F1635" s="1">
        <v>259</v>
      </c>
      <c r="G1635" s="1">
        <v>39.619999999999997</v>
      </c>
      <c r="H1635" s="1">
        <v>10261.58</v>
      </c>
      <c r="I1635" s="1">
        <v>6958.3</v>
      </c>
      <c r="J1635" s="1">
        <v>3303.28</v>
      </c>
      <c r="K1635" s="8" t="str">
        <f t="shared" si="25"/>
        <v>Jul</v>
      </c>
    </row>
    <row r="1636" spans="1:11">
      <c r="A1636" s="1" t="s">
        <v>1660</v>
      </c>
      <c r="B1636" s="2">
        <v>45872</v>
      </c>
      <c r="C1636" s="1" t="s">
        <v>28</v>
      </c>
      <c r="D1636" s="1" t="s">
        <v>13</v>
      </c>
      <c r="E1636" s="1" t="s">
        <v>33</v>
      </c>
      <c r="F1636" s="1">
        <v>157</v>
      </c>
      <c r="G1636" s="1">
        <v>21</v>
      </c>
      <c r="H1636" s="1">
        <v>3297</v>
      </c>
      <c r="I1636" s="1">
        <v>2203.7800000000002</v>
      </c>
      <c r="J1636" s="1">
        <v>1093.22</v>
      </c>
      <c r="K1636" s="8" t="str">
        <f t="shared" si="25"/>
        <v>Aug</v>
      </c>
    </row>
    <row r="1637" spans="1:11">
      <c r="A1637" s="1" t="s">
        <v>1661</v>
      </c>
      <c r="B1637" s="2">
        <v>45689</v>
      </c>
      <c r="C1637" s="1" t="s">
        <v>12</v>
      </c>
      <c r="D1637" s="1" t="s">
        <v>29</v>
      </c>
      <c r="E1637" s="1" t="s">
        <v>33</v>
      </c>
      <c r="F1637" s="1">
        <v>103</v>
      </c>
      <c r="G1637" s="1">
        <v>39.68</v>
      </c>
      <c r="H1637" s="1">
        <v>4087.04</v>
      </c>
      <c r="I1637" s="1">
        <v>3098.46</v>
      </c>
      <c r="J1637" s="1">
        <v>988.58</v>
      </c>
      <c r="K1637" s="8" t="str">
        <f t="shared" si="25"/>
        <v>Feb</v>
      </c>
    </row>
    <row r="1638" spans="1:11">
      <c r="A1638" s="1" t="s">
        <v>1662</v>
      </c>
      <c r="B1638" s="2">
        <v>45942</v>
      </c>
      <c r="C1638" s="1" t="s">
        <v>28</v>
      </c>
      <c r="D1638" s="1" t="s">
        <v>17</v>
      </c>
      <c r="E1638" s="1" t="s">
        <v>20</v>
      </c>
      <c r="F1638" s="1">
        <v>163</v>
      </c>
      <c r="G1638" s="1">
        <v>38.21</v>
      </c>
      <c r="H1638" s="1">
        <v>6228.23</v>
      </c>
      <c r="I1638" s="1">
        <v>3904.93</v>
      </c>
      <c r="J1638" s="1">
        <v>2323.3000000000002</v>
      </c>
      <c r="K1638" s="8" t="str">
        <f t="shared" si="25"/>
        <v>Oct</v>
      </c>
    </row>
    <row r="1639" spans="1:11">
      <c r="A1639" s="1" t="s">
        <v>1663</v>
      </c>
      <c r="B1639" s="2">
        <v>45786</v>
      </c>
      <c r="C1639" s="1" t="s">
        <v>28</v>
      </c>
      <c r="D1639" s="1" t="s">
        <v>29</v>
      </c>
      <c r="E1639" s="1" t="s">
        <v>33</v>
      </c>
      <c r="F1639" s="1">
        <v>73</v>
      </c>
      <c r="G1639" s="1">
        <v>35.56</v>
      </c>
      <c r="H1639" s="1">
        <v>2595.88</v>
      </c>
      <c r="I1639" s="1">
        <v>1890.94</v>
      </c>
      <c r="J1639" s="1">
        <v>704.94</v>
      </c>
      <c r="K1639" s="8" t="str">
        <f t="shared" si="25"/>
        <v>May</v>
      </c>
    </row>
    <row r="1640" spans="1:11">
      <c r="A1640" s="1" t="s">
        <v>1664</v>
      </c>
      <c r="B1640" s="2">
        <v>45994</v>
      </c>
      <c r="C1640" s="1" t="s">
        <v>36</v>
      </c>
      <c r="D1640" s="1" t="s">
        <v>29</v>
      </c>
      <c r="E1640" s="1" t="s">
        <v>14</v>
      </c>
      <c r="F1640" s="1">
        <v>104</v>
      </c>
      <c r="G1640" s="1">
        <v>39.33</v>
      </c>
      <c r="H1640" s="1">
        <v>4090.32</v>
      </c>
      <c r="I1640" s="1">
        <v>3073.76</v>
      </c>
      <c r="J1640" s="1">
        <v>1016.56</v>
      </c>
      <c r="K1640" s="8" t="str">
        <f t="shared" si="25"/>
        <v>Dec</v>
      </c>
    </row>
    <row r="1641" spans="1:11">
      <c r="A1641" s="1" t="s">
        <v>1665</v>
      </c>
      <c r="B1641" s="2">
        <v>45752</v>
      </c>
      <c r="C1641" s="1" t="s">
        <v>31</v>
      </c>
      <c r="D1641" s="1" t="s">
        <v>29</v>
      </c>
      <c r="E1641" s="1" t="s">
        <v>33</v>
      </c>
      <c r="F1641" s="1">
        <v>34</v>
      </c>
      <c r="G1641" s="1">
        <v>26.25</v>
      </c>
      <c r="H1641" s="1">
        <v>892.5</v>
      </c>
      <c r="I1641" s="1">
        <v>593.53</v>
      </c>
      <c r="J1641" s="1">
        <v>298.97000000000003</v>
      </c>
      <c r="K1641" s="8" t="str">
        <f t="shared" si="25"/>
        <v>Apr</v>
      </c>
    </row>
    <row r="1642" spans="1:11">
      <c r="A1642" s="1" t="s">
        <v>1666</v>
      </c>
      <c r="B1642" s="2">
        <v>45842</v>
      </c>
      <c r="C1642" s="1" t="s">
        <v>16</v>
      </c>
      <c r="D1642" s="1" t="s">
        <v>29</v>
      </c>
      <c r="E1642" s="1" t="s">
        <v>26</v>
      </c>
      <c r="F1642" s="1">
        <v>107</v>
      </c>
      <c r="G1642" s="1">
        <v>32.479999999999997</v>
      </c>
      <c r="H1642" s="1">
        <v>3475.36</v>
      </c>
      <c r="I1642" s="1">
        <v>2346.25</v>
      </c>
      <c r="J1642" s="1">
        <v>1129.1099999999999</v>
      </c>
      <c r="K1642" s="8" t="str">
        <f t="shared" si="25"/>
        <v>Jul</v>
      </c>
    </row>
    <row r="1643" spans="1:11">
      <c r="A1643" s="1" t="s">
        <v>1667</v>
      </c>
      <c r="B1643" s="2">
        <v>45940</v>
      </c>
      <c r="C1643" s="1" t="s">
        <v>28</v>
      </c>
      <c r="D1643" s="1" t="s">
        <v>13</v>
      </c>
      <c r="E1643" s="1" t="s">
        <v>23</v>
      </c>
      <c r="F1643" s="1">
        <v>222</v>
      </c>
      <c r="G1643" s="1">
        <v>30.56</v>
      </c>
      <c r="H1643" s="1">
        <v>6784.32</v>
      </c>
      <c r="I1643" s="1">
        <v>4815.04</v>
      </c>
      <c r="J1643" s="1">
        <v>1969.28</v>
      </c>
      <c r="K1643" s="8" t="str">
        <f t="shared" si="25"/>
        <v>Oct</v>
      </c>
    </row>
    <row r="1644" spans="1:11">
      <c r="A1644" s="1" t="s">
        <v>1668</v>
      </c>
      <c r="B1644" s="2">
        <v>45872</v>
      </c>
      <c r="C1644" s="1" t="s">
        <v>28</v>
      </c>
      <c r="D1644" s="1" t="s">
        <v>29</v>
      </c>
      <c r="E1644" s="1" t="s">
        <v>20</v>
      </c>
      <c r="F1644" s="1">
        <v>218</v>
      </c>
      <c r="G1644" s="1">
        <v>20.57</v>
      </c>
      <c r="H1644" s="1">
        <v>4484.26</v>
      </c>
      <c r="I1644" s="1">
        <v>2903.01</v>
      </c>
      <c r="J1644" s="1">
        <v>1581.25</v>
      </c>
      <c r="K1644" s="8" t="str">
        <f t="shared" si="25"/>
        <v>Aug</v>
      </c>
    </row>
    <row r="1645" spans="1:11">
      <c r="A1645" s="1" t="s">
        <v>1669</v>
      </c>
      <c r="B1645" s="2">
        <v>45662</v>
      </c>
      <c r="C1645" s="1" t="s">
        <v>22</v>
      </c>
      <c r="D1645" s="1" t="s">
        <v>17</v>
      </c>
      <c r="E1645" s="1" t="s">
        <v>20</v>
      </c>
      <c r="F1645" s="1">
        <v>91</v>
      </c>
      <c r="G1645" s="1">
        <v>22.36</v>
      </c>
      <c r="H1645" s="1">
        <v>2034.76</v>
      </c>
      <c r="I1645" s="1">
        <v>1454.39</v>
      </c>
      <c r="J1645" s="1">
        <v>580.37</v>
      </c>
      <c r="K1645" s="8" t="str">
        <f t="shared" si="25"/>
        <v>Jan</v>
      </c>
    </row>
    <row r="1646" spans="1:11">
      <c r="A1646" s="1" t="s">
        <v>1670</v>
      </c>
      <c r="B1646" s="2">
        <v>45817</v>
      </c>
      <c r="C1646" s="1" t="s">
        <v>16</v>
      </c>
      <c r="D1646" s="1" t="s">
        <v>17</v>
      </c>
      <c r="E1646" s="1" t="s">
        <v>14</v>
      </c>
      <c r="F1646" s="1">
        <v>109</v>
      </c>
      <c r="G1646" s="1">
        <v>17.54</v>
      </c>
      <c r="H1646" s="1">
        <v>1911.86</v>
      </c>
      <c r="I1646" s="1">
        <v>1161.3900000000001</v>
      </c>
      <c r="J1646" s="1">
        <v>750.47</v>
      </c>
      <c r="K1646" s="8" t="str">
        <f t="shared" si="25"/>
        <v>Jun</v>
      </c>
    </row>
    <row r="1647" spans="1:11">
      <c r="A1647" s="1" t="s">
        <v>1671</v>
      </c>
      <c r="B1647" s="2">
        <v>45820</v>
      </c>
      <c r="C1647" s="1" t="s">
        <v>28</v>
      </c>
      <c r="D1647" s="1" t="s">
        <v>17</v>
      </c>
      <c r="E1647" s="1" t="s">
        <v>26</v>
      </c>
      <c r="F1647" s="1">
        <v>280</v>
      </c>
      <c r="G1647" s="1">
        <v>35.97</v>
      </c>
      <c r="H1647" s="1">
        <v>10071.6</v>
      </c>
      <c r="I1647" s="1">
        <v>7427.4</v>
      </c>
      <c r="J1647" s="1">
        <v>2644.2</v>
      </c>
      <c r="K1647" s="8" t="str">
        <f t="shared" si="25"/>
        <v>Jun</v>
      </c>
    </row>
    <row r="1648" spans="1:11">
      <c r="A1648" s="1" t="s">
        <v>1672</v>
      </c>
      <c r="B1648" s="2">
        <v>45848</v>
      </c>
      <c r="C1648" s="1" t="s">
        <v>36</v>
      </c>
      <c r="D1648" s="1" t="s">
        <v>29</v>
      </c>
      <c r="E1648" s="1" t="s">
        <v>20</v>
      </c>
      <c r="F1648" s="1">
        <v>48</v>
      </c>
      <c r="G1648" s="1">
        <v>29.2</v>
      </c>
      <c r="H1648" s="1">
        <v>1401.6</v>
      </c>
      <c r="I1648" s="1">
        <v>940.14</v>
      </c>
      <c r="J1648" s="1">
        <v>461.46</v>
      </c>
      <c r="K1648" s="8" t="str">
        <f t="shared" si="25"/>
        <v>Jul</v>
      </c>
    </row>
    <row r="1649" spans="1:11">
      <c r="A1649" s="1" t="s">
        <v>1673</v>
      </c>
      <c r="B1649" s="2">
        <v>45807</v>
      </c>
      <c r="C1649" s="1" t="s">
        <v>16</v>
      </c>
      <c r="D1649" s="1" t="s">
        <v>13</v>
      </c>
      <c r="E1649" s="1" t="s">
        <v>26</v>
      </c>
      <c r="F1649" s="1">
        <v>32</v>
      </c>
      <c r="G1649" s="1">
        <v>22.73</v>
      </c>
      <c r="H1649" s="1">
        <v>727.36</v>
      </c>
      <c r="I1649" s="1">
        <v>508.87</v>
      </c>
      <c r="J1649" s="1">
        <v>218.49</v>
      </c>
      <c r="K1649" s="8" t="str">
        <f t="shared" si="25"/>
        <v>May</v>
      </c>
    </row>
    <row r="1650" spans="1:11">
      <c r="A1650" s="1" t="s">
        <v>1674</v>
      </c>
      <c r="B1650" s="2">
        <v>45821</v>
      </c>
      <c r="C1650" s="1" t="s">
        <v>36</v>
      </c>
      <c r="D1650" s="1" t="s">
        <v>13</v>
      </c>
      <c r="E1650" s="1" t="s">
        <v>20</v>
      </c>
      <c r="F1650" s="1">
        <v>181</v>
      </c>
      <c r="G1650" s="1">
        <v>11.97</v>
      </c>
      <c r="H1650" s="1">
        <v>2166.5700000000002</v>
      </c>
      <c r="I1650" s="1">
        <v>1701.05</v>
      </c>
      <c r="J1650" s="1">
        <v>465.52</v>
      </c>
      <c r="K1650" s="8" t="str">
        <f t="shared" si="25"/>
        <v>Jun</v>
      </c>
    </row>
    <row r="1651" spans="1:11">
      <c r="A1651" s="1" t="s">
        <v>1675</v>
      </c>
      <c r="B1651" s="2">
        <v>45864</v>
      </c>
      <c r="C1651" s="1" t="s">
        <v>31</v>
      </c>
      <c r="D1651" s="1" t="s">
        <v>13</v>
      </c>
      <c r="E1651" s="1" t="s">
        <v>33</v>
      </c>
      <c r="F1651" s="1">
        <v>219</v>
      </c>
      <c r="G1651" s="1">
        <v>31.39</v>
      </c>
      <c r="H1651" s="1">
        <v>6874.41</v>
      </c>
      <c r="I1651" s="1">
        <v>5406.31</v>
      </c>
      <c r="J1651" s="1">
        <v>1468.1</v>
      </c>
      <c r="K1651" s="8" t="str">
        <f t="shared" si="25"/>
        <v>Jul</v>
      </c>
    </row>
    <row r="1652" spans="1:11">
      <c r="A1652" s="1" t="s">
        <v>1676</v>
      </c>
      <c r="B1652" s="2">
        <v>45890</v>
      </c>
      <c r="C1652" s="1" t="s">
        <v>28</v>
      </c>
      <c r="D1652" s="1" t="s">
        <v>17</v>
      </c>
      <c r="E1652" s="1" t="s">
        <v>14</v>
      </c>
      <c r="F1652" s="1">
        <v>171</v>
      </c>
      <c r="G1652" s="1">
        <v>25.33</v>
      </c>
      <c r="H1652" s="1">
        <v>4331.43</v>
      </c>
      <c r="I1652" s="1">
        <v>3167.09</v>
      </c>
      <c r="J1652" s="1">
        <v>1164.3399999999999</v>
      </c>
      <c r="K1652" s="8" t="str">
        <f t="shared" si="25"/>
        <v>Aug</v>
      </c>
    </row>
    <row r="1653" spans="1:11">
      <c r="A1653" s="1" t="s">
        <v>1677</v>
      </c>
      <c r="B1653" s="2">
        <v>45865</v>
      </c>
      <c r="C1653" s="1" t="s">
        <v>31</v>
      </c>
      <c r="D1653" s="1" t="s">
        <v>17</v>
      </c>
      <c r="E1653" s="1" t="s">
        <v>18</v>
      </c>
      <c r="F1653" s="1">
        <v>298</v>
      </c>
      <c r="G1653" s="1">
        <v>30.38</v>
      </c>
      <c r="H1653" s="1">
        <v>9053.24</v>
      </c>
      <c r="I1653" s="1">
        <v>7177.36</v>
      </c>
      <c r="J1653" s="1">
        <v>1875.88</v>
      </c>
      <c r="K1653" s="8" t="str">
        <f t="shared" si="25"/>
        <v>Jul</v>
      </c>
    </row>
    <row r="1654" spans="1:11">
      <c r="A1654" s="1" t="s">
        <v>1678</v>
      </c>
      <c r="B1654" s="2">
        <v>45863</v>
      </c>
      <c r="C1654" s="1" t="s">
        <v>36</v>
      </c>
      <c r="D1654" s="1" t="s">
        <v>13</v>
      </c>
      <c r="E1654" s="1" t="s">
        <v>33</v>
      </c>
      <c r="F1654" s="1">
        <v>117</v>
      </c>
      <c r="G1654" s="1">
        <v>12.49</v>
      </c>
      <c r="H1654" s="1">
        <v>1461.33</v>
      </c>
      <c r="I1654" s="1">
        <v>1144.3399999999999</v>
      </c>
      <c r="J1654" s="1">
        <v>316.99</v>
      </c>
      <c r="K1654" s="8" t="str">
        <f t="shared" si="25"/>
        <v>Jul</v>
      </c>
    </row>
    <row r="1655" spans="1:11">
      <c r="A1655" s="1" t="s">
        <v>1679</v>
      </c>
      <c r="B1655" s="2">
        <v>45902</v>
      </c>
      <c r="C1655" s="1" t="s">
        <v>22</v>
      </c>
      <c r="D1655" s="1" t="s">
        <v>13</v>
      </c>
      <c r="E1655" s="1" t="s">
        <v>23</v>
      </c>
      <c r="F1655" s="1">
        <v>122</v>
      </c>
      <c r="G1655" s="1">
        <v>18.52</v>
      </c>
      <c r="H1655" s="1">
        <v>2259.44</v>
      </c>
      <c r="I1655" s="1">
        <v>1616.94</v>
      </c>
      <c r="J1655" s="1">
        <v>642.5</v>
      </c>
      <c r="K1655" s="8" t="str">
        <f t="shared" si="25"/>
        <v>Sep</v>
      </c>
    </row>
    <row r="1656" spans="1:11">
      <c r="A1656" s="1" t="s">
        <v>1680</v>
      </c>
      <c r="B1656" s="2">
        <v>45907</v>
      </c>
      <c r="C1656" s="1" t="s">
        <v>22</v>
      </c>
      <c r="D1656" s="1" t="s">
        <v>17</v>
      </c>
      <c r="E1656" s="1" t="s">
        <v>20</v>
      </c>
      <c r="F1656" s="1">
        <v>106</v>
      </c>
      <c r="G1656" s="1">
        <v>17.18</v>
      </c>
      <c r="H1656" s="1">
        <v>1821.08</v>
      </c>
      <c r="I1656" s="1">
        <v>1323.52</v>
      </c>
      <c r="J1656" s="1">
        <v>497.56</v>
      </c>
      <c r="K1656" s="8" t="str">
        <f t="shared" si="25"/>
        <v>Sep</v>
      </c>
    </row>
    <row r="1657" spans="1:11">
      <c r="A1657" s="1" t="s">
        <v>1681</v>
      </c>
      <c r="B1657" s="2">
        <v>45944</v>
      </c>
      <c r="C1657" s="1" t="s">
        <v>31</v>
      </c>
      <c r="D1657" s="1" t="s">
        <v>17</v>
      </c>
      <c r="E1657" s="1" t="s">
        <v>18</v>
      </c>
      <c r="F1657" s="1">
        <v>165</v>
      </c>
      <c r="G1657" s="1">
        <v>37.880000000000003</v>
      </c>
      <c r="H1657" s="1">
        <v>6250.2</v>
      </c>
      <c r="I1657" s="1">
        <v>4945.6899999999996</v>
      </c>
      <c r="J1657" s="1">
        <v>1304.51</v>
      </c>
      <c r="K1657" s="8" t="str">
        <f t="shared" si="25"/>
        <v>Oct</v>
      </c>
    </row>
    <row r="1658" spans="1:11">
      <c r="A1658" s="1" t="s">
        <v>1682</v>
      </c>
      <c r="B1658" s="2">
        <v>45761</v>
      </c>
      <c r="C1658" s="1" t="s">
        <v>28</v>
      </c>
      <c r="D1658" s="1" t="s">
        <v>29</v>
      </c>
      <c r="E1658" s="1" t="s">
        <v>20</v>
      </c>
      <c r="F1658" s="1">
        <v>245</v>
      </c>
      <c r="G1658" s="1">
        <v>28.76</v>
      </c>
      <c r="H1658" s="1">
        <v>7046.2</v>
      </c>
      <c r="I1658" s="1">
        <v>4918.24</v>
      </c>
      <c r="J1658" s="1">
        <v>2127.96</v>
      </c>
      <c r="K1658" s="8" t="str">
        <f t="shared" si="25"/>
        <v>Apr</v>
      </c>
    </row>
    <row r="1659" spans="1:11">
      <c r="A1659" s="1" t="s">
        <v>1683</v>
      </c>
      <c r="B1659" s="2">
        <v>46014</v>
      </c>
      <c r="C1659" s="1" t="s">
        <v>22</v>
      </c>
      <c r="D1659" s="1" t="s">
        <v>29</v>
      </c>
      <c r="E1659" s="1" t="s">
        <v>33</v>
      </c>
      <c r="F1659" s="1">
        <v>164</v>
      </c>
      <c r="G1659" s="1">
        <v>25.73</v>
      </c>
      <c r="H1659" s="1">
        <v>4219.72</v>
      </c>
      <c r="I1659" s="1">
        <v>3020.64</v>
      </c>
      <c r="J1659" s="1">
        <v>1199.08</v>
      </c>
      <c r="K1659" s="8" t="str">
        <f t="shared" si="25"/>
        <v>Dec</v>
      </c>
    </row>
    <row r="1660" spans="1:11">
      <c r="A1660" s="1" t="s">
        <v>1684</v>
      </c>
      <c r="B1660" s="2">
        <v>45921</v>
      </c>
      <c r="C1660" s="1" t="s">
        <v>36</v>
      </c>
      <c r="D1660" s="1" t="s">
        <v>17</v>
      </c>
      <c r="E1660" s="1" t="s">
        <v>18</v>
      </c>
      <c r="F1660" s="1">
        <v>213</v>
      </c>
      <c r="G1660" s="1">
        <v>34.03</v>
      </c>
      <c r="H1660" s="1">
        <v>7248.39</v>
      </c>
      <c r="I1660" s="1">
        <v>5394.91</v>
      </c>
      <c r="J1660" s="1">
        <v>1853.48</v>
      </c>
      <c r="K1660" s="8" t="str">
        <f t="shared" si="25"/>
        <v>Sep</v>
      </c>
    </row>
    <row r="1661" spans="1:11">
      <c r="A1661" s="1" t="s">
        <v>1685</v>
      </c>
      <c r="B1661" s="2">
        <v>45786</v>
      </c>
      <c r="C1661" s="1" t="s">
        <v>36</v>
      </c>
      <c r="D1661" s="1" t="s">
        <v>13</v>
      </c>
      <c r="E1661" s="1" t="s">
        <v>18</v>
      </c>
      <c r="F1661" s="1">
        <v>155</v>
      </c>
      <c r="G1661" s="1">
        <v>27.93</v>
      </c>
      <c r="H1661" s="1">
        <v>4329.1499999999996</v>
      </c>
      <c r="I1661" s="1">
        <v>2640.13</v>
      </c>
      <c r="J1661" s="1">
        <v>1689.02</v>
      </c>
      <c r="K1661" s="8" t="str">
        <f t="shared" si="25"/>
        <v>May</v>
      </c>
    </row>
    <row r="1662" spans="1:11">
      <c r="A1662" s="1" t="s">
        <v>1686</v>
      </c>
      <c r="B1662" s="2">
        <v>45843</v>
      </c>
      <c r="C1662" s="1" t="s">
        <v>16</v>
      </c>
      <c r="D1662" s="1" t="s">
        <v>13</v>
      </c>
      <c r="E1662" s="1" t="s">
        <v>23</v>
      </c>
      <c r="F1662" s="1">
        <v>49</v>
      </c>
      <c r="G1662" s="1">
        <v>38.450000000000003</v>
      </c>
      <c r="H1662" s="1">
        <v>1884.05</v>
      </c>
      <c r="I1662" s="1">
        <v>1461.41</v>
      </c>
      <c r="J1662" s="1">
        <v>422.64</v>
      </c>
      <c r="K1662" s="8" t="str">
        <f t="shared" si="25"/>
        <v>Jul</v>
      </c>
    </row>
    <row r="1663" spans="1:11">
      <c r="A1663" s="1" t="s">
        <v>1687</v>
      </c>
      <c r="B1663" s="2">
        <v>45708</v>
      </c>
      <c r="C1663" s="1" t="s">
        <v>16</v>
      </c>
      <c r="D1663" s="1" t="s">
        <v>29</v>
      </c>
      <c r="E1663" s="1" t="s">
        <v>14</v>
      </c>
      <c r="F1663" s="1">
        <v>250</v>
      </c>
      <c r="G1663" s="1">
        <v>32.549999999999997</v>
      </c>
      <c r="H1663" s="1">
        <v>8137.5</v>
      </c>
      <c r="I1663" s="1">
        <v>5624.84</v>
      </c>
      <c r="J1663" s="1">
        <v>2512.66</v>
      </c>
      <c r="K1663" s="8" t="str">
        <f t="shared" si="25"/>
        <v>Feb</v>
      </c>
    </row>
    <row r="1664" spans="1:11">
      <c r="A1664" s="1" t="s">
        <v>1688</v>
      </c>
      <c r="B1664" s="2">
        <v>45763</v>
      </c>
      <c r="C1664" s="1" t="s">
        <v>36</v>
      </c>
      <c r="D1664" s="1" t="s">
        <v>13</v>
      </c>
      <c r="E1664" s="1" t="s">
        <v>33</v>
      </c>
      <c r="F1664" s="1">
        <v>284</v>
      </c>
      <c r="G1664" s="1">
        <v>35.81</v>
      </c>
      <c r="H1664" s="1">
        <v>10170.040000000001</v>
      </c>
      <c r="I1664" s="1">
        <v>6280.94</v>
      </c>
      <c r="J1664" s="1">
        <v>3889.1</v>
      </c>
      <c r="K1664" s="8" t="str">
        <f t="shared" si="25"/>
        <v>Apr</v>
      </c>
    </row>
    <row r="1665" spans="1:11">
      <c r="A1665" s="1" t="s">
        <v>1689</v>
      </c>
      <c r="B1665" s="2">
        <v>45787</v>
      </c>
      <c r="C1665" s="1" t="s">
        <v>12</v>
      </c>
      <c r="D1665" s="1" t="s">
        <v>13</v>
      </c>
      <c r="E1665" s="1" t="s">
        <v>20</v>
      </c>
      <c r="F1665" s="1">
        <v>239</v>
      </c>
      <c r="G1665" s="1">
        <v>25.15</v>
      </c>
      <c r="H1665" s="1">
        <v>6010.85</v>
      </c>
      <c r="I1665" s="1">
        <v>4259.8900000000003</v>
      </c>
      <c r="J1665" s="1">
        <v>1750.96</v>
      </c>
      <c r="K1665" s="8" t="str">
        <f t="shared" si="25"/>
        <v>May</v>
      </c>
    </row>
    <row r="1666" spans="1:11">
      <c r="A1666" s="1" t="s">
        <v>1690</v>
      </c>
      <c r="B1666" s="2">
        <v>45754</v>
      </c>
      <c r="C1666" s="1" t="s">
        <v>16</v>
      </c>
      <c r="D1666" s="1" t="s">
        <v>29</v>
      </c>
      <c r="E1666" s="1" t="s">
        <v>23</v>
      </c>
      <c r="F1666" s="1">
        <v>239</v>
      </c>
      <c r="G1666" s="1">
        <v>34.42</v>
      </c>
      <c r="H1666" s="1">
        <v>8226.3799999999992</v>
      </c>
      <c r="I1666" s="1">
        <v>5084.37</v>
      </c>
      <c r="J1666" s="1">
        <v>3142.01</v>
      </c>
      <c r="K1666" s="8" t="str">
        <f t="shared" ref="K1666:K1729" si="26">TEXT(B1666,"mmm")</f>
        <v>Apr</v>
      </c>
    </row>
    <row r="1667" spans="1:11">
      <c r="A1667" s="1" t="s">
        <v>1691</v>
      </c>
      <c r="B1667" s="2">
        <v>45717</v>
      </c>
      <c r="C1667" s="1" t="s">
        <v>16</v>
      </c>
      <c r="D1667" s="1" t="s">
        <v>13</v>
      </c>
      <c r="E1667" s="1" t="s">
        <v>14</v>
      </c>
      <c r="F1667" s="1">
        <v>119</v>
      </c>
      <c r="G1667" s="1">
        <v>28.68</v>
      </c>
      <c r="H1667" s="1">
        <v>3412.92</v>
      </c>
      <c r="I1667" s="1">
        <v>2671.73</v>
      </c>
      <c r="J1667" s="1">
        <v>741.19</v>
      </c>
      <c r="K1667" s="8" t="str">
        <f t="shared" si="26"/>
        <v>Mar</v>
      </c>
    </row>
    <row r="1668" spans="1:11">
      <c r="A1668" s="1" t="s">
        <v>1692</v>
      </c>
      <c r="B1668" s="2">
        <v>45741</v>
      </c>
      <c r="C1668" s="1" t="s">
        <v>22</v>
      </c>
      <c r="D1668" s="1" t="s">
        <v>13</v>
      </c>
      <c r="E1668" s="1" t="s">
        <v>23</v>
      </c>
      <c r="F1668" s="1">
        <v>205</v>
      </c>
      <c r="G1668" s="1">
        <v>16.579999999999998</v>
      </c>
      <c r="H1668" s="1">
        <v>3398.9</v>
      </c>
      <c r="I1668" s="1">
        <v>2058.58</v>
      </c>
      <c r="J1668" s="1">
        <v>1340.32</v>
      </c>
      <c r="K1668" s="8" t="str">
        <f t="shared" si="26"/>
        <v>Mar</v>
      </c>
    </row>
    <row r="1669" spans="1:11">
      <c r="A1669" s="1" t="s">
        <v>1693</v>
      </c>
      <c r="B1669" s="2">
        <v>45819</v>
      </c>
      <c r="C1669" s="1" t="s">
        <v>12</v>
      </c>
      <c r="D1669" s="1" t="s">
        <v>17</v>
      </c>
      <c r="E1669" s="1" t="s">
        <v>14</v>
      </c>
      <c r="F1669" s="1">
        <v>243</v>
      </c>
      <c r="G1669" s="1">
        <v>20.21</v>
      </c>
      <c r="H1669" s="1">
        <v>4911.03</v>
      </c>
      <c r="I1669" s="1">
        <v>3443.93</v>
      </c>
      <c r="J1669" s="1">
        <v>1467.1</v>
      </c>
      <c r="K1669" s="8" t="str">
        <f t="shared" si="26"/>
        <v>Jun</v>
      </c>
    </row>
    <row r="1670" spans="1:11">
      <c r="A1670" s="1" t="s">
        <v>1694</v>
      </c>
      <c r="B1670" s="2">
        <v>45704</v>
      </c>
      <c r="C1670" s="1" t="s">
        <v>22</v>
      </c>
      <c r="D1670" s="1" t="s">
        <v>17</v>
      </c>
      <c r="E1670" s="1" t="s">
        <v>20</v>
      </c>
      <c r="F1670" s="1">
        <v>39</v>
      </c>
      <c r="G1670" s="1">
        <v>10.14</v>
      </c>
      <c r="H1670" s="1">
        <v>395.46</v>
      </c>
      <c r="I1670" s="1">
        <v>304.23</v>
      </c>
      <c r="J1670" s="1">
        <v>91.23</v>
      </c>
      <c r="K1670" s="8" t="str">
        <f t="shared" si="26"/>
        <v>Feb</v>
      </c>
    </row>
    <row r="1671" spans="1:11">
      <c r="A1671" s="1" t="s">
        <v>1695</v>
      </c>
      <c r="B1671" s="2">
        <v>45717</v>
      </c>
      <c r="C1671" s="1" t="s">
        <v>16</v>
      </c>
      <c r="D1671" s="1" t="s">
        <v>13</v>
      </c>
      <c r="E1671" s="1" t="s">
        <v>20</v>
      </c>
      <c r="F1671" s="1">
        <v>273</v>
      </c>
      <c r="G1671" s="1">
        <v>36.28</v>
      </c>
      <c r="H1671" s="1">
        <v>9904.44</v>
      </c>
      <c r="I1671" s="1">
        <v>6583.88</v>
      </c>
      <c r="J1671" s="1">
        <v>3320.56</v>
      </c>
      <c r="K1671" s="8" t="str">
        <f t="shared" si="26"/>
        <v>Mar</v>
      </c>
    </row>
    <row r="1672" spans="1:11">
      <c r="A1672" s="1" t="s">
        <v>1696</v>
      </c>
      <c r="B1672" s="2">
        <v>45990</v>
      </c>
      <c r="C1672" s="1" t="s">
        <v>12</v>
      </c>
      <c r="D1672" s="1" t="s">
        <v>29</v>
      </c>
      <c r="E1672" s="1" t="s">
        <v>23</v>
      </c>
      <c r="F1672" s="1">
        <v>257</v>
      </c>
      <c r="G1672" s="1">
        <v>38.799999999999997</v>
      </c>
      <c r="H1672" s="1">
        <v>9971.6</v>
      </c>
      <c r="I1672" s="1">
        <v>7943.95</v>
      </c>
      <c r="J1672" s="1">
        <v>2027.65</v>
      </c>
      <c r="K1672" s="8" t="str">
        <f t="shared" si="26"/>
        <v>Nov</v>
      </c>
    </row>
    <row r="1673" spans="1:11">
      <c r="A1673" s="1" t="s">
        <v>1697</v>
      </c>
      <c r="B1673" s="2">
        <v>45717</v>
      </c>
      <c r="C1673" s="1" t="s">
        <v>12</v>
      </c>
      <c r="D1673" s="1" t="s">
        <v>17</v>
      </c>
      <c r="E1673" s="1" t="s">
        <v>20</v>
      </c>
      <c r="F1673" s="1">
        <v>179</v>
      </c>
      <c r="G1673" s="1">
        <v>35.47</v>
      </c>
      <c r="H1673" s="1">
        <v>6349.13</v>
      </c>
      <c r="I1673" s="1">
        <v>4363.6499999999996</v>
      </c>
      <c r="J1673" s="1">
        <v>1985.48</v>
      </c>
      <c r="K1673" s="8" t="str">
        <f t="shared" si="26"/>
        <v>Mar</v>
      </c>
    </row>
    <row r="1674" spans="1:11">
      <c r="A1674" s="1" t="s">
        <v>1698</v>
      </c>
      <c r="B1674" s="2">
        <v>45852</v>
      </c>
      <c r="C1674" s="1" t="s">
        <v>22</v>
      </c>
      <c r="D1674" s="1" t="s">
        <v>29</v>
      </c>
      <c r="E1674" s="1" t="s">
        <v>20</v>
      </c>
      <c r="F1674" s="1">
        <v>35</v>
      </c>
      <c r="G1674" s="1">
        <v>17.66</v>
      </c>
      <c r="H1674" s="1">
        <v>618.1</v>
      </c>
      <c r="I1674" s="1">
        <v>374.74</v>
      </c>
      <c r="J1674" s="1">
        <v>243.36</v>
      </c>
      <c r="K1674" s="8" t="str">
        <f t="shared" si="26"/>
        <v>Jul</v>
      </c>
    </row>
    <row r="1675" spans="1:11">
      <c r="A1675" s="1" t="s">
        <v>1699</v>
      </c>
      <c r="B1675" s="2">
        <v>45744</v>
      </c>
      <c r="C1675" s="1" t="s">
        <v>22</v>
      </c>
      <c r="D1675" s="1" t="s">
        <v>29</v>
      </c>
      <c r="E1675" s="1" t="s">
        <v>26</v>
      </c>
      <c r="F1675" s="1">
        <v>168</v>
      </c>
      <c r="G1675" s="1">
        <v>16.29</v>
      </c>
      <c r="H1675" s="1">
        <v>2736.72</v>
      </c>
      <c r="I1675" s="1">
        <v>2002.03</v>
      </c>
      <c r="J1675" s="1">
        <v>734.69</v>
      </c>
      <c r="K1675" s="8" t="str">
        <f t="shared" si="26"/>
        <v>Mar</v>
      </c>
    </row>
    <row r="1676" spans="1:11">
      <c r="A1676" s="1" t="s">
        <v>1700</v>
      </c>
      <c r="B1676" s="2">
        <v>45880</v>
      </c>
      <c r="C1676" s="1" t="s">
        <v>31</v>
      </c>
      <c r="D1676" s="1" t="s">
        <v>13</v>
      </c>
      <c r="E1676" s="1" t="s">
        <v>18</v>
      </c>
      <c r="F1676" s="1">
        <v>275</v>
      </c>
      <c r="G1676" s="1">
        <v>13.16</v>
      </c>
      <c r="H1676" s="1">
        <v>3619</v>
      </c>
      <c r="I1676" s="1">
        <v>2435.7800000000002</v>
      </c>
      <c r="J1676" s="1">
        <v>1183.22</v>
      </c>
      <c r="K1676" s="8" t="str">
        <f t="shared" si="26"/>
        <v>Aug</v>
      </c>
    </row>
    <row r="1677" spans="1:11">
      <c r="A1677" s="1" t="s">
        <v>1701</v>
      </c>
      <c r="B1677" s="2">
        <v>45915</v>
      </c>
      <c r="C1677" s="1" t="s">
        <v>31</v>
      </c>
      <c r="D1677" s="1" t="s">
        <v>13</v>
      </c>
      <c r="E1677" s="1" t="s">
        <v>33</v>
      </c>
      <c r="F1677" s="1">
        <v>148</v>
      </c>
      <c r="G1677" s="1">
        <v>27.88</v>
      </c>
      <c r="H1677" s="1">
        <v>4126.24</v>
      </c>
      <c r="I1677" s="1">
        <v>2995.26</v>
      </c>
      <c r="J1677" s="1">
        <v>1130.98</v>
      </c>
      <c r="K1677" s="8" t="str">
        <f t="shared" si="26"/>
        <v>Sep</v>
      </c>
    </row>
    <row r="1678" spans="1:11">
      <c r="A1678" s="1" t="s">
        <v>1702</v>
      </c>
      <c r="B1678" s="2">
        <v>45726</v>
      </c>
      <c r="C1678" s="1" t="s">
        <v>28</v>
      </c>
      <c r="D1678" s="1" t="s">
        <v>13</v>
      </c>
      <c r="E1678" s="1" t="s">
        <v>14</v>
      </c>
      <c r="F1678" s="1">
        <v>37</v>
      </c>
      <c r="G1678" s="1">
        <v>18.52</v>
      </c>
      <c r="H1678" s="1">
        <v>685.24</v>
      </c>
      <c r="I1678" s="1">
        <v>525.46</v>
      </c>
      <c r="J1678" s="1">
        <v>159.78</v>
      </c>
      <c r="K1678" s="8" t="str">
        <f t="shared" si="26"/>
        <v>Mar</v>
      </c>
    </row>
    <row r="1679" spans="1:11">
      <c r="A1679" s="1" t="s">
        <v>1703</v>
      </c>
      <c r="B1679" s="2">
        <v>45943</v>
      </c>
      <c r="C1679" s="1" t="s">
        <v>28</v>
      </c>
      <c r="D1679" s="1" t="s">
        <v>29</v>
      </c>
      <c r="E1679" s="1" t="s">
        <v>33</v>
      </c>
      <c r="F1679" s="1">
        <v>154</v>
      </c>
      <c r="G1679" s="1">
        <v>38.31</v>
      </c>
      <c r="H1679" s="1">
        <v>5899.74</v>
      </c>
      <c r="I1679" s="1">
        <v>4637.83</v>
      </c>
      <c r="J1679" s="1">
        <v>1261.9100000000001</v>
      </c>
      <c r="K1679" s="8" t="str">
        <f t="shared" si="26"/>
        <v>Oct</v>
      </c>
    </row>
    <row r="1680" spans="1:11">
      <c r="A1680" s="1" t="s">
        <v>1704</v>
      </c>
      <c r="B1680" s="2">
        <v>45717</v>
      </c>
      <c r="C1680" s="1" t="s">
        <v>36</v>
      </c>
      <c r="D1680" s="1" t="s">
        <v>17</v>
      </c>
      <c r="E1680" s="1" t="s">
        <v>20</v>
      </c>
      <c r="F1680" s="1">
        <v>239</v>
      </c>
      <c r="G1680" s="1">
        <v>29.65</v>
      </c>
      <c r="H1680" s="1">
        <v>7086.35</v>
      </c>
      <c r="I1680" s="1">
        <v>4284.72</v>
      </c>
      <c r="J1680" s="1">
        <v>2801.63</v>
      </c>
      <c r="K1680" s="8" t="str">
        <f t="shared" si="26"/>
        <v>Mar</v>
      </c>
    </row>
    <row r="1681" spans="1:11">
      <c r="A1681" s="1" t="s">
        <v>1705</v>
      </c>
      <c r="B1681" s="2">
        <v>45757</v>
      </c>
      <c r="C1681" s="1" t="s">
        <v>16</v>
      </c>
      <c r="D1681" s="1" t="s">
        <v>17</v>
      </c>
      <c r="E1681" s="1" t="s">
        <v>18</v>
      </c>
      <c r="F1681" s="1">
        <v>58</v>
      </c>
      <c r="G1681" s="1">
        <v>21.95</v>
      </c>
      <c r="H1681" s="1">
        <v>1273.0999999999999</v>
      </c>
      <c r="I1681" s="1">
        <v>841.75</v>
      </c>
      <c r="J1681" s="1">
        <v>431.35</v>
      </c>
      <c r="K1681" s="8" t="str">
        <f t="shared" si="26"/>
        <v>Apr</v>
      </c>
    </row>
    <row r="1682" spans="1:11">
      <c r="A1682" s="1" t="s">
        <v>1706</v>
      </c>
      <c r="B1682" s="2">
        <v>45870</v>
      </c>
      <c r="C1682" s="1" t="s">
        <v>28</v>
      </c>
      <c r="D1682" s="1" t="s">
        <v>13</v>
      </c>
      <c r="E1682" s="1" t="s">
        <v>20</v>
      </c>
      <c r="F1682" s="1">
        <v>118</v>
      </c>
      <c r="G1682" s="1">
        <v>39.869999999999997</v>
      </c>
      <c r="H1682" s="1">
        <v>4704.66</v>
      </c>
      <c r="I1682" s="1">
        <v>3513.44</v>
      </c>
      <c r="J1682" s="1">
        <v>1191.22</v>
      </c>
      <c r="K1682" s="8" t="str">
        <f t="shared" si="26"/>
        <v>Aug</v>
      </c>
    </row>
    <row r="1683" spans="1:11">
      <c r="A1683" s="1" t="s">
        <v>1707</v>
      </c>
      <c r="B1683" s="2">
        <v>45876</v>
      </c>
      <c r="C1683" s="1" t="s">
        <v>31</v>
      </c>
      <c r="D1683" s="1" t="s">
        <v>13</v>
      </c>
      <c r="E1683" s="1" t="s">
        <v>26</v>
      </c>
      <c r="F1683" s="1">
        <v>294</v>
      </c>
      <c r="G1683" s="1">
        <v>35.840000000000003</v>
      </c>
      <c r="H1683" s="1">
        <v>10536.96</v>
      </c>
      <c r="I1683" s="1">
        <v>8201.7999999999993</v>
      </c>
      <c r="J1683" s="1">
        <v>2335.16</v>
      </c>
      <c r="K1683" s="8" t="str">
        <f t="shared" si="26"/>
        <v>Aug</v>
      </c>
    </row>
    <row r="1684" spans="1:11">
      <c r="A1684" s="1" t="s">
        <v>1708</v>
      </c>
      <c r="B1684" s="2">
        <v>45998</v>
      </c>
      <c r="C1684" s="1" t="s">
        <v>22</v>
      </c>
      <c r="D1684" s="1" t="s">
        <v>29</v>
      </c>
      <c r="E1684" s="1" t="s">
        <v>14</v>
      </c>
      <c r="F1684" s="1">
        <v>163</v>
      </c>
      <c r="G1684" s="1">
        <v>30.62</v>
      </c>
      <c r="H1684" s="1">
        <v>4991.0600000000004</v>
      </c>
      <c r="I1684" s="1">
        <v>3640.83</v>
      </c>
      <c r="J1684" s="1">
        <v>1350.23</v>
      </c>
      <c r="K1684" s="8" t="str">
        <f t="shared" si="26"/>
        <v>Dec</v>
      </c>
    </row>
    <row r="1685" spans="1:11">
      <c r="A1685" s="1" t="s">
        <v>1709</v>
      </c>
      <c r="B1685" s="2">
        <v>45722</v>
      </c>
      <c r="C1685" s="1" t="s">
        <v>16</v>
      </c>
      <c r="D1685" s="1" t="s">
        <v>17</v>
      </c>
      <c r="E1685" s="1" t="s">
        <v>20</v>
      </c>
      <c r="F1685" s="1">
        <v>280</v>
      </c>
      <c r="G1685" s="1">
        <v>38.380000000000003</v>
      </c>
      <c r="H1685" s="1">
        <v>10746.4</v>
      </c>
      <c r="I1685" s="1">
        <v>7880.17</v>
      </c>
      <c r="J1685" s="1">
        <v>2866.23</v>
      </c>
      <c r="K1685" s="8" t="str">
        <f t="shared" si="26"/>
        <v>Mar</v>
      </c>
    </row>
    <row r="1686" spans="1:11">
      <c r="A1686" s="1" t="s">
        <v>1710</v>
      </c>
      <c r="B1686" s="2">
        <v>45986</v>
      </c>
      <c r="C1686" s="1" t="s">
        <v>31</v>
      </c>
      <c r="D1686" s="1" t="s">
        <v>17</v>
      </c>
      <c r="E1686" s="1" t="s">
        <v>18</v>
      </c>
      <c r="F1686" s="1">
        <v>56</v>
      </c>
      <c r="G1686" s="1">
        <v>19.18</v>
      </c>
      <c r="H1686" s="1">
        <v>1074.08</v>
      </c>
      <c r="I1686" s="1">
        <v>845.76</v>
      </c>
      <c r="J1686" s="1">
        <v>228.32</v>
      </c>
      <c r="K1686" s="8" t="str">
        <f t="shared" si="26"/>
        <v>Nov</v>
      </c>
    </row>
    <row r="1687" spans="1:11">
      <c r="A1687" s="1" t="s">
        <v>1711</v>
      </c>
      <c r="B1687" s="2">
        <v>45962</v>
      </c>
      <c r="C1687" s="1" t="s">
        <v>36</v>
      </c>
      <c r="D1687" s="1" t="s">
        <v>17</v>
      </c>
      <c r="E1687" s="1" t="s">
        <v>23</v>
      </c>
      <c r="F1687" s="1">
        <v>267</v>
      </c>
      <c r="G1687" s="1">
        <v>23.67</v>
      </c>
      <c r="H1687" s="1">
        <v>6319.89</v>
      </c>
      <c r="I1687" s="1">
        <v>3860.43</v>
      </c>
      <c r="J1687" s="1">
        <v>2459.46</v>
      </c>
      <c r="K1687" s="8" t="str">
        <f t="shared" si="26"/>
        <v>Nov</v>
      </c>
    </row>
    <row r="1688" spans="1:11">
      <c r="A1688" s="1" t="s">
        <v>1712</v>
      </c>
      <c r="B1688" s="2">
        <v>45810</v>
      </c>
      <c r="C1688" s="1" t="s">
        <v>16</v>
      </c>
      <c r="D1688" s="1" t="s">
        <v>13</v>
      </c>
      <c r="E1688" s="1" t="s">
        <v>26</v>
      </c>
      <c r="F1688" s="1">
        <v>113</v>
      </c>
      <c r="G1688" s="1">
        <v>32.479999999999997</v>
      </c>
      <c r="H1688" s="1">
        <v>3670.24</v>
      </c>
      <c r="I1688" s="1">
        <v>2602.62</v>
      </c>
      <c r="J1688" s="1">
        <v>1067.6199999999999</v>
      </c>
      <c r="K1688" s="8" t="str">
        <f t="shared" si="26"/>
        <v>Jun</v>
      </c>
    </row>
    <row r="1689" spans="1:11">
      <c r="A1689" s="1" t="s">
        <v>1713</v>
      </c>
      <c r="B1689" s="2">
        <v>45991</v>
      </c>
      <c r="C1689" s="1" t="s">
        <v>31</v>
      </c>
      <c r="D1689" s="1" t="s">
        <v>13</v>
      </c>
      <c r="E1689" s="1" t="s">
        <v>18</v>
      </c>
      <c r="F1689" s="1">
        <v>227</v>
      </c>
      <c r="G1689" s="1">
        <v>13.51</v>
      </c>
      <c r="H1689" s="1">
        <v>3066.77</v>
      </c>
      <c r="I1689" s="1">
        <v>2234.5700000000002</v>
      </c>
      <c r="J1689" s="1">
        <v>832.2</v>
      </c>
      <c r="K1689" s="8" t="str">
        <f t="shared" si="26"/>
        <v>Nov</v>
      </c>
    </row>
    <row r="1690" spans="1:11">
      <c r="A1690" s="1" t="s">
        <v>1714</v>
      </c>
      <c r="B1690" s="2">
        <v>45664</v>
      </c>
      <c r="C1690" s="1" t="s">
        <v>28</v>
      </c>
      <c r="D1690" s="1" t="s">
        <v>29</v>
      </c>
      <c r="E1690" s="1" t="s">
        <v>23</v>
      </c>
      <c r="F1690" s="1">
        <v>214</v>
      </c>
      <c r="G1690" s="1">
        <v>35.22</v>
      </c>
      <c r="H1690" s="1">
        <v>7537.08</v>
      </c>
      <c r="I1690" s="1">
        <v>5649.18</v>
      </c>
      <c r="J1690" s="1">
        <v>1887.9</v>
      </c>
      <c r="K1690" s="8" t="str">
        <f t="shared" si="26"/>
        <v>Jan</v>
      </c>
    </row>
    <row r="1691" spans="1:11">
      <c r="A1691" s="1" t="s">
        <v>1715</v>
      </c>
      <c r="B1691" s="2">
        <v>45717</v>
      </c>
      <c r="C1691" s="1" t="s">
        <v>36</v>
      </c>
      <c r="D1691" s="1" t="s">
        <v>13</v>
      </c>
      <c r="E1691" s="1" t="s">
        <v>33</v>
      </c>
      <c r="F1691" s="1">
        <v>50</v>
      </c>
      <c r="G1691" s="1">
        <v>26.95</v>
      </c>
      <c r="H1691" s="1">
        <v>1347.5</v>
      </c>
      <c r="I1691" s="1">
        <v>1013.69</v>
      </c>
      <c r="J1691" s="1">
        <v>333.81</v>
      </c>
      <c r="K1691" s="8" t="str">
        <f t="shared" si="26"/>
        <v>Mar</v>
      </c>
    </row>
    <row r="1692" spans="1:11">
      <c r="A1692" s="1" t="s">
        <v>1716</v>
      </c>
      <c r="B1692" s="2">
        <v>45995</v>
      </c>
      <c r="C1692" s="1" t="s">
        <v>36</v>
      </c>
      <c r="D1692" s="1" t="s">
        <v>13</v>
      </c>
      <c r="E1692" s="1" t="s">
        <v>20</v>
      </c>
      <c r="F1692" s="1">
        <v>194</v>
      </c>
      <c r="G1692" s="1">
        <v>15.89</v>
      </c>
      <c r="H1692" s="1">
        <v>3082.66</v>
      </c>
      <c r="I1692" s="1">
        <v>2314.15</v>
      </c>
      <c r="J1692" s="1">
        <v>768.51</v>
      </c>
      <c r="K1692" s="8" t="str">
        <f t="shared" si="26"/>
        <v>Dec</v>
      </c>
    </row>
    <row r="1693" spans="1:11">
      <c r="A1693" s="1" t="s">
        <v>1717</v>
      </c>
      <c r="B1693" s="2">
        <v>45729</v>
      </c>
      <c r="C1693" s="1" t="s">
        <v>28</v>
      </c>
      <c r="D1693" s="1" t="s">
        <v>29</v>
      </c>
      <c r="E1693" s="1" t="s">
        <v>33</v>
      </c>
      <c r="F1693" s="1">
        <v>157</v>
      </c>
      <c r="G1693" s="1">
        <v>24.19</v>
      </c>
      <c r="H1693" s="1">
        <v>3797.83</v>
      </c>
      <c r="I1693" s="1">
        <v>2904.93</v>
      </c>
      <c r="J1693" s="1">
        <v>892.9</v>
      </c>
      <c r="K1693" s="8" t="str">
        <f t="shared" si="26"/>
        <v>Mar</v>
      </c>
    </row>
    <row r="1694" spans="1:11">
      <c r="A1694" s="1" t="s">
        <v>1718</v>
      </c>
      <c r="B1694" s="2">
        <v>45700</v>
      </c>
      <c r="C1694" s="1" t="s">
        <v>31</v>
      </c>
      <c r="D1694" s="1" t="s">
        <v>13</v>
      </c>
      <c r="E1694" s="1" t="s">
        <v>20</v>
      </c>
      <c r="F1694" s="1">
        <v>269</v>
      </c>
      <c r="G1694" s="1">
        <v>21.17</v>
      </c>
      <c r="H1694" s="1">
        <v>5694.73</v>
      </c>
      <c r="I1694" s="1">
        <v>4218.58</v>
      </c>
      <c r="J1694" s="1">
        <v>1476.15</v>
      </c>
      <c r="K1694" s="8" t="str">
        <f t="shared" si="26"/>
        <v>Feb</v>
      </c>
    </row>
    <row r="1695" spans="1:11">
      <c r="A1695" s="1" t="s">
        <v>1719</v>
      </c>
      <c r="B1695" s="2">
        <v>45994</v>
      </c>
      <c r="C1695" s="1" t="s">
        <v>12</v>
      </c>
      <c r="D1695" s="1" t="s">
        <v>13</v>
      </c>
      <c r="E1695" s="1" t="s">
        <v>14</v>
      </c>
      <c r="F1695" s="1">
        <v>243</v>
      </c>
      <c r="G1695" s="1">
        <v>38.58</v>
      </c>
      <c r="H1695" s="1">
        <v>9374.94</v>
      </c>
      <c r="I1695" s="1">
        <v>6654.95</v>
      </c>
      <c r="J1695" s="1">
        <v>2719.99</v>
      </c>
      <c r="K1695" s="8" t="str">
        <f t="shared" si="26"/>
        <v>Dec</v>
      </c>
    </row>
    <row r="1696" spans="1:11">
      <c r="A1696" s="1" t="s">
        <v>1720</v>
      </c>
      <c r="B1696" s="2">
        <v>45678</v>
      </c>
      <c r="C1696" s="1" t="s">
        <v>22</v>
      </c>
      <c r="D1696" s="1" t="s">
        <v>29</v>
      </c>
      <c r="E1696" s="1" t="s">
        <v>23</v>
      </c>
      <c r="F1696" s="1">
        <v>119</v>
      </c>
      <c r="G1696" s="1">
        <v>23.09</v>
      </c>
      <c r="H1696" s="1">
        <v>2747.71</v>
      </c>
      <c r="I1696" s="1">
        <v>2049.1</v>
      </c>
      <c r="J1696" s="1">
        <v>698.61</v>
      </c>
      <c r="K1696" s="8" t="str">
        <f t="shared" si="26"/>
        <v>Jan</v>
      </c>
    </row>
    <row r="1697" spans="1:11">
      <c r="A1697" s="1" t="s">
        <v>1721</v>
      </c>
      <c r="B1697" s="2">
        <v>45987</v>
      </c>
      <c r="C1697" s="1" t="s">
        <v>12</v>
      </c>
      <c r="D1697" s="1" t="s">
        <v>17</v>
      </c>
      <c r="E1697" s="1" t="s">
        <v>23</v>
      </c>
      <c r="F1697" s="1">
        <v>110</v>
      </c>
      <c r="G1697" s="1">
        <v>15.97</v>
      </c>
      <c r="H1697" s="1">
        <v>1756.7</v>
      </c>
      <c r="I1697" s="1">
        <v>1274.3599999999999</v>
      </c>
      <c r="J1697" s="1">
        <v>482.34</v>
      </c>
      <c r="K1697" s="8" t="str">
        <f t="shared" si="26"/>
        <v>Nov</v>
      </c>
    </row>
    <row r="1698" spans="1:11">
      <c r="A1698" s="1" t="s">
        <v>1722</v>
      </c>
      <c r="B1698" s="2">
        <v>45752</v>
      </c>
      <c r="C1698" s="1" t="s">
        <v>36</v>
      </c>
      <c r="D1698" s="1" t="s">
        <v>13</v>
      </c>
      <c r="E1698" s="1" t="s">
        <v>14</v>
      </c>
      <c r="F1698" s="1">
        <v>254</v>
      </c>
      <c r="G1698" s="1">
        <v>21.89</v>
      </c>
      <c r="H1698" s="1">
        <v>5560.06</v>
      </c>
      <c r="I1698" s="1">
        <v>4301.72</v>
      </c>
      <c r="J1698" s="1">
        <v>1258.3399999999999</v>
      </c>
      <c r="K1698" s="8" t="str">
        <f t="shared" si="26"/>
        <v>Apr</v>
      </c>
    </row>
    <row r="1699" spans="1:11">
      <c r="A1699" s="1" t="s">
        <v>1723</v>
      </c>
      <c r="B1699" s="2">
        <v>45857</v>
      </c>
      <c r="C1699" s="1" t="s">
        <v>28</v>
      </c>
      <c r="D1699" s="1" t="s">
        <v>13</v>
      </c>
      <c r="E1699" s="1" t="s">
        <v>26</v>
      </c>
      <c r="F1699" s="1">
        <v>37</v>
      </c>
      <c r="G1699" s="1">
        <v>27.68</v>
      </c>
      <c r="H1699" s="1">
        <v>1024.1600000000001</v>
      </c>
      <c r="I1699" s="1">
        <v>722.09</v>
      </c>
      <c r="J1699" s="1">
        <v>302.07</v>
      </c>
      <c r="K1699" s="8" t="str">
        <f t="shared" si="26"/>
        <v>Jul</v>
      </c>
    </row>
    <row r="1700" spans="1:11">
      <c r="A1700" s="1" t="s">
        <v>1724</v>
      </c>
      <c r="B1700" s="2">
        <v>45975</v>
      </c>
      <c r="C1700" s="1" t="s">
        <v>28</v>
      </c>
      <c r="D1700" s="1" t="s">
        <v>13</v>
      </c>
      <c r="E1700" s="1" t="s">
        <v>18</v>
      </c>
      <c r="F1700" s="1">
        <v>242</v>
      </c>
      <c r="G1700" s="1">
        <v>31.4</v>
      </c>
      <c r="H1700" s="1">
        <v>7598.8</v>
      </c>
      <c r="I1700" s="1">
        <v>5171.43</v>
      </c>
      <c r="J1700" s="1">
        <v>2427.37</v>
      </c>
      <c r="K1700" s="8" t="str">
        <f t="shared" si="26"/>
        <v>Nov</v>
      </c>
    </row>
    <row r="1701" spans="1:11">
      <c r="A1701" s="1" t="s">
        <v>1725</v>
      </c>
      <c r="B1701" s="2">
        <v>45699</v>
      </c>
      <c r="C1701" s="1" t="s">
        <v>31</v>
      </c>
      <c r="D1701" s="1" t="s">
        <v>13</v>
      </c>
      <c r="E1701" s="1" t="s">
        <v>26</v>
      </c>
      <c r="F1701" s="1">
        <v>213</v>
      </c>
      <c r="G1701" s="1">
        <v>32.79</v>
      </c>
      <c r="H1701" s="1">
        <v>6984.27</v>
      </c>
      <c r="I1701" s="1">
        <v>4465.78</v>
      </c>
      <c r="J1701" s="1">
        <v>2518.4899999999998</v>
      </c>
      <c r="K1701" s="8" t="str">
        <f t="shared" si="26"/>
        <v>Feb</v>
      </c>
    </row>
    <row r="1702" spans="1:11">
      <c r="A1702" s="1" t="s">
        <v>1726</v>
      </c>
      <c r="B1702" s="2">
        <v>45790</v>
      </c>
      <c r="C1702" s="1" t="s">
        <v>12</v>
      </c>
      <c r="D1702" s="1" t="s">
        <v>29</v>
      </c>
      <c r="E1702" s="1" t="s">
        <v>20</v>
      </c>
      <c r="F1702" s="1">
        <v>172</v>
      </c>
      <c r="G1702" s="1">
        <v>20.43</v>
      </c>
      <c r="H1702" s="1">
        <v>3513.96</v>
      </c>
      <c r="I1702" s="1">
        <v>2811</v>
      </c>
      <c r="J1702" s="1">
        <v>702.96</v>
      </c>
      <c r="K1702" s="8" t="str">
        <f t="shared" si="26"/>
        <v>May</v>
      </c>
    </row>
    <row r="1703" spans="1:11">
      <c r="A1703" s="1" t="s">
        <v>1727</v>
      </c>
      <c r="B1703" s="2">
        <v>45822</v>
      </c>
      <c r="C1703" s="1" t="s">
        <v>36</v>
      </c>
      <c r="D1703" s="1" t="s">
        <v>29</v>
      </c>
      <c r="E1703" s="1" t="s">
        <v>18</v>
      </c>
      <c r="F1703" s="1">
        <v>300</v>
      </c>
      <c r="G1703" s="1">
        <v>33.81</v>
      </c>
      <c r="H1703" s="1">
        <v>10143</v>
      </c>
      <c r="I1703" s="1">
        <v>7282.65</v>
      </c>
      <c r="J1703" s="1">
        <v>2860.35</v>
      </c>
      <c r="K1703" s="8" t="str">
        <f t="shared" si="26"/>
        <v>Jun</v>
      </c>
    </row>
    <row r="1704" spans="1:11">
      <c r="A1704" s="1" t="s">
        <v>1728</v>
      </c>
      <c r="B1704" s="2">
        <v>45724</v>
      </c>
      <c r="C1704" s="1" t="s">
        <v>16</v>
      </c>
      <c r="D1704" s="1" t="s">
        <v>17</v>
      </c>
      <c r="E1704" s="1" t="s">
        <v>18</v>
      </c>
      <c r="F1704" s="1">
        <v>210</v>
      </c>
      <c r="G1704" s="1">
        <v>36.979999999999997</v>
      </c>
      <c r="H1704" s="1">
        <v>7765.8</v>
      </c>
      <c r="I1704" s="1">
        <v>4743.76</v>
      </c>
      <c r="J1704" s="1">
        <v>3022.04</v>
      </c>
      <c r="K1704" s="8" t="str">
        <f t="shared" si="26"/>
        <v>Mar</v>
      </c>
    </row>
    <row r="1705" spans="1:11">
      <c r="A1705" s="1" t="s">
        <v>1729</v>
      </c>
      <c r="B1705" s="2">
        <v>45753</v>
      </c>
      <c r="C1705" s="1" t="s">
        <v>16</v>
      </c>
      <c r="D1705" s="1" t="s">
        <v>17</v>
      </c>
      <c r="E1705" s="1" t="s">
        <v>26</v>
      </c>
      <c r="F1705" s="1">
        <v>294</v>
      </c>
      <c r="G1705" s="1">
        <v>25.23</v>
      </c>
      <c r="H1705" s="1">
        <v>7417.62</v>
      </c>
      <c r="I1705" s="1">
        <v>4900.8999999999996</v>
      </c>
      <c r="J1705" s="1">
        <v>2516.7199999999998</v>
      </c>
      <c r="K1705" s="8" t="str">
        <f t="shared" si="26"/>
        <v>Apr</v>
      </c>
    </row>
    <row r="1706" spans="1:11">
      <c r="A1706" s="1" t="s">
        <v>1730</v>
      </c>
      <c r="B1706" s="2">
        <v>45846</v>
      </c>
      <c r="C1706" s="1" t="s">
        <v>36</v>
      </c>
      <c r="D1706" s="1" t="s">
        <v>13</v>
      </c>
      <c r="E1706" s="1" t="s">
        <v>20</v>
      </c>
      <c r="F1706" s="1">
        <v>223</v>
      </c>
      <c r="G1706" s="1">
        <v>32.130000000000003</v>
      </c>
      <c r="H1706" s="1">
        <v>7164.99</v>
      </c>
      <c r="I1706" s="1">
        <v>5419.99</v>
      </c>
      <c r="J1706" s="1">
        <v>1745</v>
      </c>
      <c r="K1706" s="8" t="str">
        <f t="shared" si="26"/>
        <v>Jul</v>
      </c>
    </row>
    <row r="1707" spans="1:11">
      <c r="A1707" s="1" t="s">
        <v>1731</v>
      </c>
      <c r="B1707" s="2">
        <v>45894</v>
      </c>
      <c r="C1707" s="1" t="s">
        <v>12</v>
      </c>
      <c r="D1707" s="1" t="s">
        <v>29</v>
      </c>
      <c r="E1707" s="1" t="s">
        <v>26</v>
      </c>
      <c r="F1707" s="1">
        <v>141</v>
      </c>
      <c r="G1707" s="1">
        <v>15.23</v>
      </c>
      <c r="H1707" s="1">
        <v>2147.4299999999998</v>
      </c>
      <c r="I1707" s="1">
        <v>1438.31</v>
      </c>
      <c r="J1707" s="1">
        <v>709.12</v>
      </c>
      <c r="K1707" s="8" t="str">
        <f t="shared" si="26"/>
        <v>Aug</v>
      </c>
    </row>
    <row r="1708" spans="1:11">
      <c r="A1708" s="1" t="s">
        <v>1732</v>
      </c>
      <c r="B1708" s="2">
        <v>45846</v>
      </c>
      <c r="C1708" s="1" t="s">
        <v>16</v>
      </c>
      <c r="D1708" s="1" t="s">
        <v>29</v>
      </c>
      <c r="E1708" s="1" t="s">
        <v>18</v>
      </c>
      <c r="F1708" s="1">
        <v>246</v>
      </c>
      <c r="G1708" s="1">
        <v>13.64</v>
      </c>
      <c r="H1708" s="1">
        <v>3355.44</v>
      </c>
      <c r="I1708" s="1">
        <v>2631.55</v>
      </c>
      <c r="J1708" s="1">
        <v>723.89</v>
      </c>
      <c r="K1708" s="8" t="str">
        <f t="shared" si="26"/>
        <v>Jul</v>
      </c>
    </row>
    <row r="1709" spans="1:11">
      <c r="A1709" s="1" t="s">
        <v>1733</v>
      </c>
      <c r="B1709" s="2">
        <v>45820</v>
      </c>
      <c r="C1709" s="1" t="s">
        <v>28</v>
      </c>
      <c r="D1709" s="1" t="s">
        <v>13</v>
      </c>
      <c r="E1709" s="1" t="s">
        <v>33</v>
      </c>
      <c r="F1709" s="1">
        <v>225</v>
      </c>
      <c r="G1709" s="1">
        <v>32.659999999999997</v>
      </c>
      <c r="H1709" s="1">
        <v>7348.5</v>
      </c>
      <c r="I1709" s="1">
        <v>5459.15</v>
      </c>
      <c r="J1709" s="1">
        <v>1889.35</v>
      </c>
      <c r="K1709" s="8" t="str">
        <f t="shared" si="26"/>
        <v>Jun</v>
      </c>
    </row>
    <row r="1710" spans="1:11">
      <c r="A1710" s="1" t="s">
        <v>1734</v>
      </c>
      <c r="B1710" s="2">
        <v>46007</v>
      </c>
      <c r="C1710" s="1" t="s">
        <v>16</v>
      </c>
      <c r="D1710" s="1" t="s">
        <v>13</v>
      </c>
      <c r="E1710" s="1" t="s">
        <v>33</v>
      </c>
      <c r="F1710" s="1">
        <v>298</v>
      </c>
      <c r="G1710" s="1">
        <v>14.77</v>
      </c>
      <c r="H1710" s="1">
        <v>4401.46</v>
      </c>
      <c r="I1710" s="1">
        <v>3172.01</v>
      </c>
      <c r="J1710" s="1">
        <v>1229.45</v>
      </c>
      <c r="K1710" s="8" t="str">
        <f t="shared" si="26"/>
        <v>Dec</v>
      </c>
    </row>
    <row r="1711" spans="1:11">
      <c r="A1711" s="1" t="s">
        <v>1735</v>
      </c>
      <c r="B1711" s="2">
        <v>46011</v>
      </c>
      <c r="C1711" s="1" t="s">
        <v>31</v>
      </c>
      <c r="D1711" s="1" t="s">
        <v>29</v>
      </c>
      <c r="E1711" s="1" t="s">
        <v>23</v>
      </c>
      <c r="F1711" s="1">
        <v>86</v>
      </c>
      <c r="G1711" s="1">
        <v>34.200000000000003</v>
      </c>
      <c r="H1711" s="1">
        <v>2941.2</v>
      </c>
      <c r="I1711" s="1">
        <v>1921.12</v>
      </c>
      <c r="J1711" s="1">
        <v>1020.08</v>
      </c>
      <c r="K1711" s="8" t="str">
        <f t="shared" si="26"/>
        <v>Dec</v>
      </c>
    </row>
    <row r="1712" spans="1:11">
      <c r="A1712" s="1" t="s">
        <v>1736</v>
      </c>
      <c r="B1712" s="2">
        <v>45702</v>
      </c>
      <c r="C1712" s="1" t="s">
        <v>31</v>
      </c>
      <c r="D1712" s="1" t="s">
        <v>17</v>
      </c>
      <c r="E1712" s="1" t="s">
        <v>20</v>
      </c>
      <c r="F1712" s="1">
        <v>199</v>
      </c>
      <c r="G1712" s="1">
        <v>17.78</v>
      </c>
      <c r="H1712" s="1">
        <v>3538.22</v>
      </c>
      <c r="I1712" s="1">
        <v>2356.27</v>
      </c>
      <c r="J1712" s="1">
        <v>1181.95</v>
      </c>
      <c r="K1712" s="8" t="str">
        <f t="shared" si="26"/>
        <v>Feb</v>
      </c>
    </row>
    <row r="1713" spans="1:11">
      <c r="A1713" s="1" t="s">
        <v>1737</v>
      </c>
      <c r="B1713" s="2">
        <v>45751</v>
      </c>
      <c r="C1713" s="1" t="s">
        <v>22</v>
      </c>
      <c r="D1713" s="1" t="s">
        <v>13</v>
      </c>
      <c r="E1713" s="1" t="s">
        <v>14</v>
      </c>
      <c r="F1713" s="1">
        <v>120</v>
      </c>
      <c r="G1713" s="1">
        <v>22.67</v>
      </c>
      <c r="H1713" s="1">
        <v>2720.4</v>
      </c>
      <c r="I1713" s="1">
        <v>2099.09</v>
      </c>
      <c r="J1713" s="1">
        <v>621.30999999999995</v>
      </c>
      <c r="K1713" s="8" t="str">
        <f t="shared" si="26"/>
        <v>Apr</v>
      </c>
    </row>
    <row r="1714" spans="1:11">
      <c r="A1714" s="1" t="s">
        <v>1738</v>
      </c>
      <c r="B1714" s="2">
        <v>45664</v>
      </c>
      <c r="C1714" s="1" t="s">
        <v>28</v>
      </c>
      <c r="D1714" s="1" t="s">
        <v>17</v>
      </c>
      <c r="E1714" s="1" t="s">
        <v>33</v>
      </c>
      <c r="F1714" s="1">
        <v>34</v>
      </c>
      <c r="G1714" s="1">
        <v>34.1</v>
      </c>
      <c r="H1714" s="1">
        <v>1159.4000000000001</v>
      </c>
      <c r="I1714" s="1">
        <v>889.84</v>
      </c>
      <c r="J1714" s="1">
        <v>269.56</v>
      </c>
      <c r="K1714" s="8" t="str">
        <f t="shared" si="26"/>
        <v>Jan</v>
      </c>
    </row>
    <row r="1715" spans="1:11">
      <c r="A1715" s="1" t="s">
        <v>1739</v>
      </c>
      <c r="B1715" s="2">
        <v>46001</v>
      </c>
      <c r="C1715" s="1" t="s">
        <v>28</v>
      </c>
      <c r="D1715" s="1" t="s">
        <v>17</v>
      </c>
      <c r="E1715" s="1" t="s">
        <v>26</v>
      </c>
      <c r="F1715" s="1">
        <v>289</v>
      </c>
      <c r="G1715" s="1">
        <v>30.52</v>
      </c>
      <c r="H1715" s="1">
        <v>8820.2800000000007</v>
      </c>
      <c r="I1715" s="1">
        <v>6824.34</v>
      </c>
      <c r="J1715" s="1">
        <v>1995.94</v>
      </c>
      <c r="K1715" s="8" t="str">
        <f t="shared" si="26"/>
        <v>Dec</v>
      </c>
    </row>
    <row r="1716" spans="1:11">
      <c r="A1716" s="1" t="s">
        <v>1740</v>
      </c>
      <c r="B1716" s="2">
        <v>45739</v>
      </c>
      <c r="C1716" s="1" t="s">
        <v>12</v>
      </c>
      <c r="D1716" s="1" t="s">
        <v>13</v>
      </c>
      <c r="E1716" s="1" t="s">
        <v>18</v>
      </c>
      <c r="F1716" s="1">
        <v>293</v>
      </c>
      <c r="G1716" s="1">
        <v>35.49</v>
      </c>
      <c r="H1716" s="1">
        <v>10398.57</v>
      </c>
      <c r="I1716" s="1">
        <v>6520.97</v>
      </c>
      <c r="J1716" s="1">
        <v>3877.6</v>
      </c>
      <c r="K1716" s="8" t="str">
        <f t="shared" si="26"/>
        <v>Mar</v>
      </c>
    </row>
    <row r="1717" spans="1:11">
      <c r="A1717" s="1" t="s">
        <v>1741</v>
      </c>
      <c r="B1717" s="2">
        <v>45834</v>
      </c>
      <c r="C1717" s="1" t="s">
        <v>12</v>
      </c>
      <c r="D1717" s="1" t="s">
        <v>13</v>
      </c>
      <c r="E1717" s="1" t="s">
        <v>18</v>
      </c>
      <c r="F1717" s="1">
        <v>258</v>
      </c>
      <c r="G1717" s="1">
        <v>36.15</v>
      </c>
      <c r="H1717" s="1">
        <v>9326.7000000000007</v>
      </c>
      <c r="I1717" s="1">
        <v>7143.51</v>
      </c>
      <c r="J1717" s="1">
        <v>2183.19</v>
      </c>
      <c r="K1717" s="8" t="str">
        <f t="shared" si="26"/>
        <v>Jun</v>
      </c>
    </row>
    <row r="1718" spans="1:11">
      <c r="A1718" s="1" t="s">
        <v>1742</v>
      </c>
      <c r="B1718" s="2">
        <v>45838</v>
      </c>
      <c r="C1718" s="1" t="s">
        <v>31</v>
      </c>
      <c r="D1718" s="1" t="s">
        <v>29</v>
      </c>
      <c r="E1718" s="1" t="s">
        <v>23</v>
      </c>
      <c r="F1718" s="1">
        <v>259</v>
      </c>
      <c r="G1718" s="1">
        <v>32.880000000000003</v>
      </c>
      <c r="H1718" s="1">
        <v>8515.92</v>
      </c>
      <c r="I1718" s="1">
        <v>5582.96</v>
      </c>
      <c r="J1718" s="1">
        <v>2932.96</v>
      </c>
      <c r="K1718" s="8" t="str">
        <f t="shared" si="26"/>
        <v>Jun</v>
      </c>
    </row>
    <row r="1719" spans="1:11">
      <c r="A1719" s="1" t="s">
        <v>1743</v>
      </c>
      <c r="B1719" s="2">
        <v>45816</v>
      </c>
      <c r="C1719" s="1" t="s">
        <v>16</v>
      </c>
      <c r="D1719" s="1" t="s">
        <v>29</v>
      </c>
      <c r="E1719" s="1" t="s">
        <v>26</v>
      </c>
      <c r="F1719" s="1">
        <v>60</v>
      </c>
      <c r="G1719" s="1">
        <v>17.579999999999998</v>
      </c>
      <c r="H1719" s="1">
        <v>1054.8</v>
      </c>
      <c r="I1719" s="1">
        <v>758.77</v>
      </c>
      <c r="J1719" s="1">
        <v>296.02999999999997</v>
      </c>
      <c r="K1719" s="8" t="str">
        <f t="shared" si="26"/>
        <v>Jun</v>
      </c>
    </row>
    <row r="1720" spans="1:11">
      <c r="A1720" s="1" t="s">
        <v>1744</v>
      </c>
      <c r="B1720" s="2">
        <v>45866</v>
      </c>
      <c r="C1720" s="1" t="s">
        <v>28</v>
      </c>
      <c r="D1720" s="1" t="s">
        <v>17</v>
      </c>
      <c r="E1720" s="1" t="s">
        <v>26</v>
      </c>
      <c r="F1720" s="1">
        <v>205</v>
      </c>
      <c r="G1720" s="1">
        <v>28.5</v>
      </c>
      <c r="H1720" s="1">
        <v>5842.5</v>
      </c>
      <c r="I1720" s="1">
        <v>4630.51</v>
      </c>
      <c r="J1720" s="1">
        <v>1211.99</v>
      </c>
      <c r="K1720" s="8" t="str">
        <f t="shared" si="26"/>
        <v>Jul</v>
      </c>
    </row>
    <row r="1721" spans="1:11">
      <c r="A1721" s="1" t="s">
        <v>1745</v>
      </c>
      <c r="B1721" s="2">
        <v>45952</v>
      </c>
      <c r="C1721" s="1" t="s">
        <v>31</v>
      </c>
      <c r="D1721" s="1" t="s">
        <v>13</v>
      </c>
      <c r="E1721" s="1" t="s">
        <v>20</v>
      </c>
      <c r="F1721" s="1">
        <v>54</v>
      </c>
      <c r="G1721" s="1">
        <v>38.520000000000003</v>
      </c>
      <c r="H1721" s="1">
        <v>2080.08</v>
      </c>
      <c r="I1721" s="1">
        <v>1388.15</v>
      </c>
      <c r="J1721" s="1">
        <v>691.93</v>
      </c>
      <c r="K1721" s="8" t="str">
        <f t="shared" si="26"/>
        <v>Oct</v>
      </c>
    </row>
    <row r="1722" spans="1:11">
      <c r="A1722" s="1" t="s">
        <v>1746</v>
      </c>
      <c r="B1722" s="2">
        <v>45690</v>
      </c>
      <c r="C1722" s="1" t="s">
        <v>22</v>
      </c>
      <c r="D1722" s="1" t="s">
        <v>17</v>
      </c>
      <c r="E1722" s="1" t="s">
        <v>20</v>
      </c>
      <c r="F1722" s="1">
        <v>217</v>
      </c>
      <c r="G1722" s="1">
        <v>12.41</v>
      </c>
      <c r="H1722" s="1">
        <v>2692.97</v>
      </c>
      <c r="I1722" s="1">
        <v>2056.2199999999998</v>
      </c>
      <c r="J1722" s="1">
        <v>636.75</v>
      </c>
      <c r="K1722" s="8" t="str">
        <f t="shared" si="26"/>
        <v>Feb</v>
      </c>
    </row>
    <row r="1723" spans="1:11">
      <c r="A1723" s="1" t="s">
        <v>1747</v>
      </c>
      <c r="B1723" s="2">
        <v>45965</v>
      </c>
      <c r="C1723" s="1" t="s">
        <v>22</v>
      </c>
      <c r="D1723" s="1" t="s">
        <v>17</v>
      </c>
      <c r="E1723" s="1" t="s">
        <v>18</v>
      </c>
      <c r="F1723" s="1">
        <v>37</v>
      </c>
      <c r="G1723" s="1">
        <v>14.52</v>
      </c>
      <c r="H1723" s="1">
        <v>537.24</v>
      </c>
      <c r="I1723" s="1">
        <v>384.1</v>
      </c>
      <c r="J1723" s="1">
        <v>153.13999999999999</v>
      </c>
      <c r="K1723" s="8" t="str">
        <f t="shared" si="26"/>
        <v>Nov</v>
      </c>
    </row>
    <row r="1724" spans="1:11">
      <c r="A1724" s="1" t="s">
        <v>1748</v>
      </c>
      <c r="B1724" s="2">
        <v>45864</v>
      </c>
      <c r="C1724" s="1" t="s">
        <v>31</v>
      </c>
      <c r="D1724" s="1" t="s">
        <v>29</v>
      </c>
      <c r="E1724" s="1" t="s">
        <v>14</v>
      </c>
      <c r="F1724" s="1">
        <v>98</v>
      </c>
      <c r="G1724" s="1">
        <v>22.5</v>
      </c>
      <c r="H1724" s="1">
        <v>2205</v>
      </c>
      <c r="I1724" s="1">
        <v>1635.49</v>
      </c>
      <c r="J1724" s="1">
        <v>569.51</v>
      </c>
      <c r="K1724" s="8" t="str">
        <f t="shared" si="26"/>
        <v>Jul</v>
      </c>
    </row>
    <row r="1725" spans="1:11">
      <c r="A1725" s="1" t="s">
        <v>1749</v>
      </c>
      <c r="B1725" s="2">
        <v>45882</v>
      </c>
      <c r="C1725" s="1" t="s">
        <v>31</v>
      </c>
      <c r="D1725" s="1" t="s">
        <v>29</v>
      </c>
      <c r="E1725" s="1" t="s">
        <v>33</v>
      </c>
      <c r="F1725" s="1">
        <v>267</v>
      </c>
      <c r="G1725" s="1">
        <v>31.36</v>
      </c>
      <c r="H1725" s="1">
        <v>8373.1200000000008</v>
      </c>
      <c r="I1725" s="1">
        <v>6297.22</v>
      </c>
      <c r="J1725" s="1">
        <v>2075.9</v>
      </c>
      <c r="K1725" s="8" t="str">
        <f t="shared" si="26"/>
        <v>Aug</v>
      </c>
    </row>
    <row r="1726" spans="1:11">
      <c r="A1726" s="1" t="s">
        <v>1750</v>
      </c>
      <c r="B1726" s="2">
        <v>45916</v>
      </c>
      <c r="C1726" s="1" t="s">
        <v>12</v>
      </c>
      <c r="D1726" s="1" t="s">
        <v>13</v>
      </c>
      <c r="E1726" s="1" t="s">
        <v>20</v>
      </c>
      <c r="F1726" s="1">
        <v>103</v>
      </c>
      <c r="G1726" s="1">
        <v>11.68</v>
      </c>
      <c r="H1726" s="1">
        <v>1203.04</v>
      </c>
      <c r="I1726" s="1">
        <v>805.79</v>
      </c>
      <c r="J1726" s="1">
        <v>397.25</v>
      </c>
      <c r="K1726" s="8" t="str">
        <f t="shared" si="26"/>
        <v>Sep</v>
      </c>
    </row>
    <row r="1727" spans="1:11">
      <c r="A1727" s="1" t="s">
        <v>1751</v>
      </c>
      <c r="B1727" s="2">
        <v>45856</v>
      </c>
      <c r="C1727" s="1" t="s">
        <v>22</v>
      </c>
      <c r="D1727" s="1" t="s">
        <v>29</v>
      </c>
      <c r="E1727" s="1" t="s">
        <v>20</v>
      </c>
      <c r="F1727" s="1">
        <v>250</v>
      </c>
      <c r="G1727" s="1">
        <v>26.79</v>
      </c>
      <c r="H1727" s="1">
        <v>6697.5</v>
      </c>
      <c r="I1727" s="1">
        <v>4506.62</v>
      </c>
      <c r="J1727" s="1">
        <v>2190.88</v>
      </c>
      <c r="K1727" s="8" t="str">
        <f t="shared" si="26"/>
        <v>Jul</v>
      </c>
    </row>
    <row r="1728" spans="1:11">
      <c r="A1728" s="1" t="s">
        <v>1752</v>
      </c>
      <c r="B1728" s="2">
        <v>45691</v>
      </c>
      <c r="C1728" s="1" t="s">
        <v>12</v>
      </c>
      <c r="D1728" s="1" t="s">
        <v>29</v>
      </c>
      <c r="E1728" s="1" t="s">
        <v>20</v>
      </c>
      <c r="F1728" s="1">
        <v>146</v>
      </c>
      <c r="G1728" s="1">
        <v>37.19</v>
      </c>
      <c r="H1728" s="1">
        <v>5429.74</v>
      </c>
      <c r="I1728" s="1">
        <v>3361.01</v>
      </c>
      <c r="J1728" s="1">
        <v>2068.73</v>
      </c>
      <c r="K1728" s="8" t="str">
        <f t="shared" si="26"/>
        <v>Feb</v>
      </c>
    </row>
    <row r="1729" spans="1:11">
      <c r="A1729" s="1" t="s">
        <v>1753</v>
      </c>
      <c r="B1729" s="2">
        <v>45867</v>
      </c>
      <c r="C1729" s="1" t="s">
        <v>16</v>
      </c>
      <c r="D1729" s="1" t="s">
        <v>17</v>
      </c>
      <c r="E1729" s="1" t="s">
        <v>20</v>
      </c>
      <c r="F1729" s="1">
        <v>113</v>
      </c>
      <c r="G1729" s="1">
        <v>36.5</v>
      </c>
      <c r="H1729" s="1">
        <v>4124.5</v>
      </c>
      <c r="I1729" s="1">
        <v>2737.88</v>
      </c>
      <c r="J1729" s="1">
        <v>1386.62</v>
      </c>
      <c r="K1729" s="8" t="str">
        <f t="shared" si="26"/>
        <v>Jul</v>
      </c>
    </row>
    <row r="1730" spans="1:11">
      <c r="A1730" s="1" t="s">
        <v>1754</v>
      </c>
      <c r="B1730" s="2">
        <v>45695</v>
      </c>
      <c r="C1730" s="1" t="s">
        <v>36</v>
      </c>
      <c r="D1730" s="1" t="s">
        <v>29</v>
      </c>
      <c r="E1730" s="1" t="s">
        <v>23</v>
      </c>
      <c r="F1730" s="1">
        <v>188</v>
      </c>
      <c r="G1730" s="1">
        <v>21.68</v>
      </c>
      <c r="H1730" s="1">
        <v>4075.84</v>
      </c>
      <c r="I1730" s="1">
        <v>2709.49</v>
      </c>
      <c r="J1730" s="1">
        <v>1366.35</v>
      </c>
      <c r="K1730" s="8" t="str">
        <f t="shared" ref="K1730:K1793" si="27">TEXT(B1730,"mmm")</f>
        <v>Feb</v>
      </c>
    </row>
    <row r="1731" spans="1:11">
      <c r="A1731" s="1" t="s">
        <v>1755</v>
      </c>
      <c r="B1731" s="2">
        <v>45780</v>
      </c>
      <c r="C1731" s="1" t="s">
        <v>36</v>
      </c>
      <c r="D1731" s="1" t="s">
        <v>29</v>
      </c>
      <c r="E1731" s="1" t="s">
        <v>33</v>
      </c>
      <c r="F1731" s="1">
        <v>165</v>
      </c>
      <c r="G1731" s="1">
        <v>14.82</v>
      </c>
      <c r="H1731" s="1">
        <v>2445.3000000000002</v>
      </c>
      <c r="I1731" s="1">
        <v>1635.03</v>
      </c>
      <c r="J1731" s="1">
        <v>810.27</v>
      </c>
      <c r="K1731" s="8" t="str">
        <f t="shared" si="27"/>
        <v>May</v>
      </c>
    </row>
    <row r="1732" spans="1:11">
      <c r="A1732" s="1" t="s">
        <v>1756</v>
      </c>
      <c r="B1732" s="2">
        <v>45896</v>
      </c>
      <c r="C1732" s="1" t="s">
        <v>36</v>
      </c>
      <c r="D1732" s="1" t="s">
        <v>29</v>
      </c>
      <c r="E1732" s="1" t="s">
        <v>14</v>
      </c>
      <c r="F1732" s="1">
        <v>269</v>
      </c>
      <c r="G1732" s="1">
        <v>33.630000000000003</v>
      </c>
      <c r="H1732" s="1">
        <v>9046.4699999999993</v>
      </c>
      <c r="I1732" s="1">
        <v>5626.03</v>
      </c>
      <c r="J1732" s="1">
        <v>3420.44</v>
      </c>
      <c r="K1732" s="8" t="str">
        <f t="shared" si="27"/>
        <v>Aug</v>
      </c>
    </row>
    <row r="1733" spans="1:11">
      <c r="A1733" s="1" t="s">
        <v>1757</v>
      </c>
      <c r="B1733" s="2">
        <v>45901</v>
      </c>
      <c r="C1733" s="1" t="s">
        <v>31</v>
      </c>
      <c r="D1733" s="1" t="s">
        <v>29</v>
      </c>
      <c r="E1733" s="1" t="s">
        <v>33</v>
      </c>
      <c r="F1733" s="1">
        <v>46</v>
      </c>
      <c r="G1733" s="1">
        <v>18.920000000000002</v>
      </c>
      <c r="H1733" s="1">
        <v>870.32</v>
      </c>
      <c r="I1733" s="1">
        <v>554.72</v>
      </c>
      <c r="J1733" s="1">
        <v>315.60000000000002</v>
      </c>
      <c r="K1733" s="8" t="str">
        <f t="shared" si="27"/>
        <v>Sep</v>
      </c>
    </row>
    <row r="1734" spans="1:11">
      <c r="A1734" s="1" t="s">
        <v>1758</v>
      </c>
      <c r="B1734" s="2">
        <v>45862</v>
      </c>
      <c r="C1734" s="1" t="s">
        <v>16</v>
      </c>
      <c r="D1734" s="1" t="s">
        <v>17</v>
      </c>
      <c r="E1734" s="1" t="s">
        <v>20</v>
      </c>
      <c r="F1734" s="1">
        <v>255</v>
      </c>
      <c r="G1734" s="1">
        <v>37.39</v>
      </c>
      <c r="H1734" s="1">
        <v>9534.4500000000007</v>
      </c>
      <c r="I1734" s="1">
        <v>6509.76</v>
      </c>
      <c r="J1734" s="1">
        <v>3024.69</v>
      </c>
      <c r="K1734" s="8" t="str">
        <f t="shared" si="27"/>
        <v>Jul</v>
      </c>
    </row>
    <row r="1735" spans="1:11">
      <c r="A1735" s="1" t="s">
        <v>1759</v>
      </c>
      <c r="B1735" s="2">
        <v>45789</v>
      </c>
      <c r="C1735" s="1" t="s">
        <v>16</v>
      </c>
      <c r="D1735" s="1" t="s">
        <v>13</v>
      </c>
      <c r="E1735" s="1" t="s">
        <v>26</v>
      </c>
      <c r="F1735" s="1">
        <v>234</v>
      </c>
      <c r="G1735" s="1">
        <v>24.67</v>
      </c>
      <c r="H1735" s="1">
        <v>5772.78</v>
      </c>
      <c r="I1735" s="1">
        <v>3976.47</v>
      </c>
      <c r="J1735" s="1">
        <v>1796.31</v>
      </c>
      <c r="K1735" s="8" t="str">
        <f t="shared" si="27"/>
        <v>May</v>
      </c>
    </row>
    <row r="1736" spans="1:11">
      <c r="A1736" s="1" t="s">
        <v>1760</v>
      </c>
      <c r="B1736" s="2">
        <v>45865</v>
      </c>
      <c r="C1736" s="1" t="s">
        <v>12</v>
      </c>
      <c r="D1736" s="1" t="s">
        <v>29</v>
      </c>
      <c r="E1736" s="1" t="s">
        <v>23</v>
      </c>
      <c r="F1736" s="1">
        <v>245</v>
      </c>
      <c r="G1736" s="1">
        <v>19.29</v>
      </c>
      <c r="H1736" s="1">
        <v>4726.05</v>
      </c>
      <c r="I1736" s="1">
        <v>3779.46</v>
      </c>
      <c r="J1736" s="1">
        <v>946.59</v>
      </c>
      <c r="K1736" s="8" t="str">
        <f t="shared" si="27"/>
        <v>Jul</v>
      </c>
    </row>
    <row r="1737" spans="1:11">
      <c r="A1737" s="1" t="s">
        <v>1761</v>
      </c>
      <c r="B1737" s="2">
        <v>45659</v>
      </c>
      <c r="C1737" s="1" t="s">
        <v>16</v>
      </c>
      <c r="D1737" s="1" t="s">
        <v>13</v>
      </c>
      <c r="E1737" s="1" t="s">
        <v>20</v>
      </c>
      <c r="F1737" s="1">
        <v>166</v>
      </c>
      <c r="G1737" s="1">
        <v>22.03</v>
      </c>
      <c r="H1737" s="1">
        <v>3656.98</v>
      </c>
      <c r="I1737" s="1">
        <v>2584.4699999999998</v>
      </c>
      <c r="J1737" s="1">
        <v>1072.51</v>
      </c>
      <c r="K1737" s="8" t="str">
        <f t="shared" si="27"/>
        <v>Jan</v>
      </c>
    </row>
    <row r="1738" spans="1:11">
      <c r="A1738" s="1" t="s">
        <v>1762</v>
      </c>
      <c r="B1738" s="2">
        <v>45734</v>
      </c>
      <c r="C1738" s="1" t="s">
        <v>28</v>
      </c>
      <c r="D1738" s="1" t="s">
        <v>29</v>
      </c>
      <c r="E1738" s="1" t="s">
        <v>18</v>
      </c>
      <c r="F1738" s="1">
        <v>63</v>
      </c>
      <c r="G1738" s="1">
        <v>27.41</v>
      </c>
      <c r="H1738" s="1">
        <v>1726.83</v>
      </c>
      <c r="I1738" s="1">
        <v>1129.72</v>
      </c>
      <c r="J1738" s="1">
        <v>597.11</v>
      </c>
      <c r="K1738" s="8" t="str">
        <f t="shared" si="27"/>
        <v>Mar</v>
      </c>
    </row>
    <row r="1739" spans="1:11">
      <c r="A1739" s="1" t="s">
        <v>1763</v>
      </c>
      <c r="B1739" s="2">
        <v>45806</v>
      </c>
      <c r="C1739" s="1" t="s">
        <v>36</v>
      </c>
      <c r="D1739" s="1" t="s">
        <v>13</v>
      </c>
      <c r="E1739" s="1" t="s">
        <v>26</v>
      </c>
      <c r="F1739" s="1">
        <v>235</v>
      </c>
      <c r="G1739" s="1">
        <v>15.14</v>
      </c>
      <c r="H1739" s="1">
        <v>3557.9</v>
      </c>
      <c r="I1739" s="1">
        <v>2609.4899999999998</v>
      </c>
      <c r="J1739" s="1">
        <v>948.41</v>
      </c>
      <c r="K1739" s="8" t="str">
        <f t="shared" si="27"/>
        <v>May</v>
      </c>
    </row>
    <row r="1740" spans="1:11">
      <c r="A1740" s="1" t="s">
        <v>1764</v>
      </c>
      <c r="B1740" s="2">
        <v>45874</v>
      </c>
      <c r="C1740" s="1" t="s">
        <v>16</v>
      </c>
      <c r="D1740" s="1" t="s">
        <v>17</v>
      </c>
      <c r="E1740" s="1" t="s">
        <v>33</v>
      </c>
      <c r="F1740" s="1">
        <v>64</v>
      </c>
      <c r="G1740" s="1">
        <v>38.200000000000003</v>
      </c>
      <c r="H1740" s="1">
        <v>2444.8000000000002</v>
      </c>
      <c r="I1740" s="1">
        <v>1471.89</v>
      </c>
      <c r="J1740" s="1">
        <v>972.91</v>
      </c>
      <c r="K1740" s="8" t="str">
        <f t="shared" si="27"/>
        <v>Aug</v>
      </c>
    </row>
    <row r="1741" spans="1:11">
      <c r="A1741" s="1" t="s">
        <v>1765</v>
      </c>
      <c r="B1741" s="2">
        <v>45909</v>
      </c>
      <c r="C1741" s="1" t="s">
        <v>12</v>
      </c>
      <c r="D1741" s="1" t="s">
        <v>17</v>
      </c>
      <c r="E1741" s="1" t="s">
        <v>23</v>
      </c>
      <c r="F1741" s="1">
        <v>186</v>
      </c>
      <c r="G1741" s="1">
        <v>13.03</v>
      </c>
      <c r="H1741" s="1">
        <v>2423.58</v>
      </c>
      <c r="I1741" s="1">
        <v>1732.47</v>
      </c>
      <c r="J1741" s="1">
        <v>691.11</v>
      </c>
      <c r="K1741" s="8" t="str">
        <f t="shared" si="27"/>
        <v>Sep</v>
      </c>
    </row>
    <row r="1742" spans="1:11">
      <c r="A1742" s="1" t="s">
        <v>1766</v>
      </c>
      <c r="B1742" s="2">
        <v>45839</v>
      </c>
      <c r="C1742" s="1" t="s">
        <v>16</v>
      </c>
      <c r="D1742" s="1" t="s">
        <v>17</v>
      </c>
      <c r="E1742" s="1" t="s">
        <v>14</v>
      </c>
      <c r="F1742" s="1">
        <v>44</v>
      </c>
      <c r="G1742" s="1">
        <v>23.35</v>
      </c>
      <c r="H1742" s="1">
        <v>1027.4000000000001</v>
      </c>
      <c r="I1742" s="1">
        <v>798.71</v>
      </c>
      <c r="J1742" s="1">
        <v>228.69</v>
      </c>
      <c r="K1742" s="8" t="str">
        <f t="shared" si="27"/>
        <v>Jul</v>
      </c>
    </row>
    <row r="1743" spans="1:11">
      <c r="A1743" s="1" t="s">
        <v>1767</v>
      </c>
      <c r="B1743" s="2">
        <v>45693</v>
      </c>
      <c r="C1743" s="1" t="s">
        <v>28</v>
      </c>
      <c r="D1743" s="1" t="s">
        <v>17</v>
      </c>
      <c r="E1743" s="1" t="s">
        <v>33</v>
      </c>
      <c r="F1743" s="1">
        <v>117</v>
      </c>
      <c r="G1743" s="1">
        <v>20.73</v>
      </c>
      <c r="H1743" s="1">
        <v>2425.41</v>
      </c>
      <c r="I1743" s="1">
        <v>1851.43</v>
      </c>
      <c r="J1743" s="1">
        <v>573.98</v>
      </c>
      <c r="K1743" s="8" t="str">
        <f t="shared" si="27"/>
        <v>Feb</v>
      </c>
    </row>
    <row r="1744" spans="1:11">
      <c r="A1744" s="1" t="s">
        <v>1768</v>
      </c>
      <c r="B1744" s="2">
        <v>45985</v>
      </c>
      <c r="C1744" s="1" t="s">
        <v>36</v>
      </c>
      <c r="D1744" s="1" t="s">
        <v>29</v>
      </c>
      <c r="E1744" s="1" t="s">
        <v>26</v>
      </c>
      <c r="F1744" s="1">
        <v>62</v>
      </c>
      <c r="G1744" s="1">
        <v>11.21</v>
      </c>
      <c r="H1744" s="1">
        <v>695.02</v>
      </c>
      <c r="I1744" s="1">
        <v>507.09</v>
      </c>
      <c r="J1744" s="1">
        <v>187.93</v>
      </c>
      <c r="K1744" s="8" t="str">
        <f t="shared" si="27"/>
        <v>Nov</v>
      </c>
    </row>
    <row r="1745" spans="1:11">
      <c r="A1745" s="1" t="s">
        <v>1769</v>
      </c>
      <c r="B1745" s="2">
        <v>45765</v>
      </c>
      <c r="C1745" s="1" t="s">
        <v>16</v>
      </c>
      <c r="D1745" s="1" t="s">
        <v>29</v>
      </c>
      <c r="E1745" s="1" t="s">
        <v>14</v>
      </c>
      <c r="F1745" s="1">
        <v>223</v>
      </c>
      <c r="G1745" s="1">
        <v>30.05</v>
      </c>
      <c r="H1745" s="1">
        <v>6701.15</v>
      </c>
      <c r="I1745" s="1">
        <v>4457.1499999999996</v>
      </c>
      <c r="J1745" s="1">
        <v>2244</v>
      </c>
      <c r="K1745" s="8" t="str">
        <f t="shared" si="27"/>
        <v>Apr</v>
      </c>
    </row>
    <row r="1746" spans="1:11">
      <c r="A1746" s="1" t="s">
        <v>1770</v>
      </c>
      <c r="B1746" s="2">
        <v>45835</v>
      </c>
      <c r="C1746" s="1" t="s">
        <v>22</v>
      </c>
      <c r="D1746" s="1" t="s">
        <v>29</v>
      </c>
      <c r="E1746" s="1" t="s">
        <v>33</v>
      </c>
      <c r="F1746" s="1">
        <v>292</v>
      </c>
      <c r="G1746" s="1">
        <v>22.3</v>
      </c>
      <c r="H1746" s="1">
        <v>6511.6</v>
      </c>
      <c r="I1746" s="1">
        <v>4385.67</v>
      </c>
      <c r="J1746" s="1">
        <v>2125.9299999999998</v>
      </c>
      <c r="K1746" s="8" t="str">
        <f t="shared" si="27"/>
        <v>Jun</v>
      </c>
    </row>
    <row r="1747" spans="1:11">
      <c r="A1747" s="1" t="s">
        <v>1771</v>
      </c>
      <c r="B1747" s="2">
        <v>45884</v>
      </c>
      <c r="C1747" s="1" t="s">
        <v>12</v>
      </c>
      <c r="D1747" s="1" t="s">
        <v>29</v>
      </c>
      <c r="E1747" s="1" t="s">
        <v>14</v>
      </c>
      <c r="F1747" s="1">
        <v>181</v>
      </c>
      <c r="G1747" s="1">
        <v>15.07</v>
      </c>
      <c r="H1747" s="1">
        <v>2727.67</v>
      </c>
      <c r="I1747" s="1">
        <v>1911.24</v>
      </c>
      <c r="J1747" s="1">
        <v>816.43</v>
      </c>
      <c r="K1747" s="8" t="str">
        <f t="shared" si="27"/>
        <v>Aug</v>
      </c>
    </row>
    <row r="1748" spans="1:11">
      <c r="A1748" s="1" t="s">
        <v>1772</v>
      </c>
      <c r="B1748" s="2">
        <v>46003</v>
      </c>
      <c r="C1748" s="1" t="s">
        <v>31</v>
      </c>
      <c r="D1748" s="1" t="s">
        <v>29</v>
      </c>
      <c r="E1748" s="1" t="s">
        <v>20</v>
      </c>
      <c r="F1748" s="1">
        <v>100</v>
      </c>
      <c r="G1748" s="1">
        <v>22.88</v>
      </c>
      <c r="H1748" s="1">
        <v>2288</v>
      </c>
      <c r="I1748" s="1">
        <v>1576.6</v>
      </c>
      <c r="J1748" s="1">
        <v>711.4</v>
      </c>
      <c r="K1748" s="8" t="str">
        <f t="shared" si="27"/>
        <v>Dec</v>
      </c>
    </row>
    <row r="1749" spans="1:11">
      <c r="A1749" s="1" t="s">
        <v>1773</v>
      </c>
      <c r="B1749" s="2">
        <v>45948</v>
      </c>
      <c r="C1749" s="1" t="s">
        <v>36</v>
      </c>
      <c r="D1749" s="1" t="s">
        <v>13</v>
      </c>
      <c r="E1749" s="1" t="s">
        <v>20</v>
      </c>
      <c r="F1749" s="1">
        <v>203</v>
      </c>
      <c r="G1749" s="1">
        <v>20.23</v>
      </c>
      <c r="H1749" s="1">
        <v>4106.6899999999996</v>
      </c>
      <c r="I1749" s="1">
        <v>2916.58</v>
      </c>
      <c r="J1749" s="1">
        <v>1190.1099999999999</v>
      </c>
      <c r="K1749" s="8" t="str">
        <f t="shared" si="27"/>
        <v>Oct</v>
      </c>
    </row>
    <row r="1750" spans="1:11">
      <c r="A1750" s="1" t="s">
        <v>1774</v>
      </c>
      <c r="B1750" s="2">
        <v>45948</v>
      </c>
      <c r="C1750" s="1" t="s">
        <v>36</v>
      </c>
      <c r="D1750" s="1" t="s">
        <v>29</v>
      </c>
      <c r="E1750" s="1" t="s">
        <v>33</v>
      </c>
      <c r="F1750" s="1">
        <v>212</v>
      </c>
      <c r="G1750" s="1">
        <v>28.55</v>
      </c>
      <c r="H1750" s="1">
        <v>6052.6</v>
      </c>
      <c r="I1750" s="1">
        <v>3800.97</v>
      </c>
      <c r="J1750" s="1">
        <v>2251.63</v>
      </c>
      <c r="K1750" s="8" t="str">
        <f t="shared" si="27"/>
        <v>Oct</v>
      </c>
    </row>
    <row r="1751" spans="1:11">
      <c r="A1751" s="1" t="s">
        <v>1775</v>
      </c>
      <c r="B1751" s="2">
        <v>45989</v>
      </c>
      <c r="C1751" s="1" t="s">
        <v>12</v>
      </c>
      <c r="D1751" s="1" t="s">
        <v>29</v>
      </c>
      <c r="E1751" s="1" t="s">
        <v>14</v>
      </c>
      <c r="F1751" s="1">
        <v>33</v>
      </c>
      <c r="G1751" s="1">
        <v>19.12</v>
      </c>
      <c r="H1751" s="1">
        <v>630.96</v>
      </c>
      <c r="I1751" s="1">
        <v>474.86</v>
      </c>
      <c r="J1751" s="1">
        <v>156.1</v>
      </c>
      <c r="K1751" s="8" t="str">
        <f t="shared" si="27"/>
        <v>Nov</v>
      </c>
    </row>
    <row r="1752" spans="1:11">
      <c r="A1752" s="1" t="s">
        <v>1776</v>
      </c>
      <c r="B1752" s="2">
        <v>45846</v>
      </c>
      <c r="C1752" s="1" t="s">
        <v>36</v>
      </c>
      <c r="D1752" s="1" t="s">
        <v>13</v>
      </c>
      <c r="E1752" s="1" t="s">
        <v>18</v>
      </c>
      <c r="F1752" s="1">
        <v>268</v>
      </c>
      <c r="G1752" s="1">
        <v>33.17</v>
      </c>
      <c r="H1752" s="1">
        <v>8889.56</v>
      </c>
      <c r="I1752" s="1">
        <v>6540.64</v>
      </c>
      <c r="J1752" s="1">
        <v>2348.92</v>
      </c>
      <c r="K1752" s="8" t="str">
        <f t="shared" si="27"/>
        <v>Jul</v>
      </c>
    </row>
    <row r="1753" spans="1:11">
      <c r="A1753" s="1" t="s">
        <v>1777</v>
      </c>
      <c r="B1753" s="2">
        <v>45826</v>
      </c>
      <c r="C1753" s="1" t="s">
        <v>28</v>
      </c>
      <c r="D1753" s="1" t="s">
        <v>29</v>
      </c>
      <c r="E1753" s="1" t="s">
        <v>23</v>
      </c>
      <c r="F1753" s="1">
        <v>17</v>
      </c>
      <c r="G1753" s="1">
        <v>37.17</v>
      </c>
      <c r="H1753" s="1">
        <v>631.89</v>
      </c>
      <c r="I1753" s="1">
        <v>463.97</v>
      </c>
      <c r="J1753" s="1">
        <v>167.92</v>
      </c>
      <c r="K1753" s="8" t="str">
        <f t="shared" si="27"/>
        <v>Jun</v>
      </c>
    </row>
    <row r="1754" spans="1:11">
      <c r="A1754" s="1" t="s">
        <v>1778</v>
      </c>
      <c r="B1754" s="2">
        <v>45810</v>
      </c>
      <c r="C1754" s="1" t="s">
        <v>31</v>
      </c>
      <c r="D1754" s="1" t="s">
        <v>29</v>
      </c>
      <c r="E1754" s="1" t="s">
        <v>33</v>
      </c>
      <c r="F1754" s="1">
        <v>33</v>
      </c>
      <c r="G1754" s="1">
        <v>21.06</v>
      </c>
      <c r="H1754" s="1">
        <v>694.98</v>
      </c>
      <c r="I1754" s="1">
        <v>445.65</v>
      </c>
      <c r="J1754" s="1">
        <v>249.33</v>
      </c>
      <c r="K1754" s="8" t="str">
        <f t="shared" si="27"/>
        <v>Jun</v>
      </c>
    </row>
    <row r="1755" spans="1:11">
      <c r="A1755" s="1" t="s">
        <v>1779</v>
      </c>
      <c r="B1755" s="2">
        <v>45896</v>
      </c>
      <c r="C1755" s="1" t="s">
        <v>28</v>
      </c>
      <c r="D1755" s="1" t="s">
        <v>17</v>
      </c>
      <c r="E1755" s="1" t="s">
        <v>18</v>
      </c>
      <c r="F1755" s="1">
        <v>226</v>
      </c>
      <c r="G1755" s="1">
        <v>34.11</v>
      </c>
      <c r="H1755" s="1">
        <v>7708.86</v>
      </c>
      <c r="I1755" s="1">
        <v>4658.16</v>
      </c>
      <c r="J1755" s="1">
        <v>3050.7</v>
      </c>
      <c r="K1755" s="8" t="str">
        <f t="shared" si="27"/>
        <v>Aug</v>
      </c>
    </row>
    <row r="1756" spans="1:11">
      <c r="A1756" s="1" t="s">
        <v>1780</v>
      </c>
      <c r="B1756" s="2">
        <v>45969</v>
      </c>
      <c r="C1756" s="1" t="s">
        <v>28</v>
      </c>
      <c r="D1756" s="1" t="s">
        <v>17</v>
      </c>
      <c r="E1756" s="1" t="s">
        <v>26</v>
      </c>
      <c r="F1756" s="1">
        <v>191</v>
      </c>
      <c r="G1756" s="1">
        <v>18.899999999999999</v>
      </c>
      <c r="H1756" s="1">
        <v>3609.9</v>
      </c>
      <c r="I1756" s="1">
        <v>2652.97</v>
      </c>
      <c r="J1756" s="1">
        <v>956.93</v>
      </c>
      <c r="K1756" s="8" t="str">
        <f t="shared" si="27"/>
        <v>Nov</v>
      </c>
    </row>
    <row r="1757" spans="1:11">
      <c r="A1757" s="1" t="s">
        <v>1781</v>
      </c>
      <c r="B1757" s="2">
        <v>45716</v>
      </c>
      <c r="C1757" s="1" t="s">
        <v>28</v>
      </c>
      <c r="D1757" s="1" t="s">
        <v>29</v>
      </c>
      <c r="E1757" s="1" t="s">
        <v>18</v>
      </c>
      <c r="F1757" s="1">
        <v>75</v>
      </c>
      <c r="G1757" s="1">
        <v>10.39</v>
      </c>
      <c r="H1757" s="1">
        <v>779.25</v>
      </c>
      <c r="I1757" s="1">
        <v>597.75</v>
      </c>
      <c r="J1757" s="1">
        <v>181.5</v>
      </c>
      <c r="K1757" s="8" t="str">
        <f t="shared" si="27"/>
        <v>Feb</v>
      </c>
    </row>
    <row r="1758" spans="1:11">
      <c r="A1758" s="1" t="s">
        <v>1782</v>
      </c>
      <c r="B1758" s="2">
        <v>45807</v>
      </c>
      <c r="C1758" s="1" t="s">
        <v>28</v>
      </c>
      <c r="D1758" s="1" t="s">
        <v>13</v>
      </c>
      <c r="E1758" s="1" t="s">
        <v>18</v>
      </c>
      <c r="F1758" s="1">
        <v>25</v>
      </c>
      <c r="G1758" s="1">
        <v>37.83</v>
      </c>
      <c r="H1758" s="1">
        <v>945.75</v>
      </c>
      <c r="I1758" s="1">
        <v>703</v>
      </c>
      <c r="J1758" s="1">
        <v>242.75</v>
      </c>
      <c r="K1758" s="8" t="str">
        <f t="shared" si="27"/>
        <v>May</v>
      </c>
    </row>
    <row r="1759" spans="1:11">
      <c r="A1759" s="1" t="s">
        <v>1783</v>
      </c>
      <c r="B1759" s="2">
        <v>45822</v>
      </c>
      <c r="C1759" s="1" t="s">
        <v>36</v>
      </c>
      <c r="D1759" s="1" t="s">
        <v>29</v>
      </c>
      <c r="E1759" s="1" t="s">
        <v>14</v>
      </c>
      <c r="F1759" s="1">
        <v>252</v>
      </c>
      <c r="G1759" s="1">
        <v>11.77</v>
      </c>
      <c r="H1759" s="1">
        <v>2966.04</v>
      </c>
      <c r="I1759" s="1">
        <v>2085.7199999999998</v>
      </c>
      <c r="J1759" s="1">
        <v>880.32</v>
      </c>
      <c r="K1759" s="8" t="str">
        <f t="shared" si="27"/>
        <v>Jun</v>
      </c>
    </row>
    <row r="1760" spans="1:11">
      <c r="A1760" s="1" t="s">
        <v>1784</v>
      </c>
      <c r="B1760" s="2">
        <v>45985</v>
      </c>
      <c r="C1760" s="1" t="s">
        <v>31</v>
      </c>
      <c r="D1760" s="1" t="s">
        <v>29</v>
      </c>
      <c r="E1760" s="1" t="s">
        <v>26</v>
      </c>
      <c r="F1760" s="1">
        <v>131</v>
      </c>
      <c r="G1760" s="1">
        <v>39.54</v>
      </c>
      <c r="H1760" s="1">
        <v>5179.74</v>
      </c>
      <c r="I1760" s="1">
        <v>3204.82</v>
      </c>
      <c r="J1760" s="1">
        <v>1974.92</v>
      </c>
      <c r="K1760" s="8" t="str">
        <f t="shared" si="27"/>
        <v>Nov</v>
      </c>
    </row>
    <row r="1761" spans="1:11">
      <c r="A1761" s="1" t="s">
        <v>1785</v>
      </c>
      <c r="B1761" s="2">
        <v>45880</v>
      </c>
      <c r="C1761" s="1" t="s">
        <v>36</v>
      </c>
      <c r="D1761" s="1" t="s">
        <v>17</v>
      </c>
      <c r="E1761" s="1" t="s">
        <v>14</v>
      </c>
      <c r="F1761" s="1">
        <v>158</v>
      </c>
      <c r="G1761" s="1">
        <v>16.98</v>
      </c>
      <c r="H1761" s="1">
        <v>2682.84</v>
      </c>
      <c r="I1761" s="1">
        <v>2056.34</v>
      </c>
      <c r="J1761" s="1">
        <v>626.5</v>
      </c>
      <c r="K1761" s="8" t="str">
        <f t="shared" si="27"/>
        <v>Aug</v>
      </c>
    </row>
    <row r="1762" spans="1:11">
      <c r="A1762" s="1" t="s">
        <v>1786</v>
      </c>
      <c r="B1762" s="2">
        <v>45898</v>
      </c>
      <c r="C1762" s="1" t="s">
        <v>12</v>
      </c>
      <c r="D1762" s="1" t="s">
        <v>13</v>
      </c>
      <c r="E1762" s="1" t="s">
        <v>18</v>
      </c>
      <c r="F1762" s="1">
        <v>95</v>
      </c>
      <c r="G1762" s="1">
        <v>33.89</v>
      </c>
      <c r="H1762" s="1">
        <v>3219.55</v>
      </c>
      <c r="I1762" s="1">
        <v>1947.8</v>
      </c>
      <c r="J1762" s="1">
        <v>1271.75</v>
      </c>
      <c r="K1762" s="8" t="str">
        <f t="shared" si="27"/>
        <v>Aug</v>
      </c>
    </row>
    <row r="1763" spans="1:11">
      <c r="A1763" s="1" t="s">
        <v>1787</v>
      </c>
      <c r="B1763" s="2">
        <v>45981</v>
      </c>
      <c r="C1763" s="1" t="s">
        <v>12</v>
      </c>
      <c r="D1763" s="1" t="s">
        <v>13</v>
      </c>
      <c r="E1763" s="1" t="s">
        <v>14</v>
      </c>
      <c r="F1763" s="1">
        <v>274</v>
      </c>
      <c r="G1763" s="1">
        <v>22.76</v>
      </c>
      <c r="H1763" s="1">
        <v>6236.24</v>
      </c>
      <c r="I1763" s="1">
        <v>4767.75</v>
      </c>
      <c r="J1763" s="1">
        <v>1468.49</v>
      </c>
      <c r="K1763" s="8" t="str">
        <f t="shared" si="27"/>
        <v>Nov</v>
      </c>
    </row>
    <row r="1764" spans="1:11">
      <c r="A1764" s="1" t="s">
        <v>1788</v>
      </c>
      <c r="B1764" s="2">
        <v>45825</v>
      </c>
      <c r="C1764" s="1" t="s">
        <v>36</v>
      </c>
      <c r="D1764" s="1" t="s">
        <v>13</v>
      </c>
      <c r="E1764" s="1" t="s">
        <v>18</v>
      </c>
      <c r="F1764" s="1">
        <v>263</v>
      </c>
      <c r="G1764" s="1">
        <v>33.19</v>
      </c>
      <c r="H1764" s="1">
        <v>8728.9699999999993</v>
      </c>
      <c r="I1764" s="1">
        <v>6280.75</v>
      </c>
      <c r="J1764" s="1">
        <v>2448.2199999999998</v>
      </c>
      <c r="K1764" s="8" t="str">
        <f t="shared" si="27"/>
        <v>Jun</v>
      </c>
    </row>
    <row r="1765" spans="1:11">
      <c r="A1765" s="1" t="s">
        <v>1789</v>
      </c>
      <c r="B1765" s="2">
        <v>45992</v>
      </c>
      <c r="C1765" s="1" t="s">
        <v>28</v>
      </c>
      <c r="D1765" s="1" t="s">
        <v>13</v>
      </c>
      <c r="E1765" s="1" t="s">
        <v>23</v>
      </c>
      <c r="F1765" s="1">
        <v>25</v>
      </c>
      <c r="G1765" s="1">
        <v>10.31</v>
      </c>
      <c r="H1765" s="1">
        <v>257.75</v>
      </c>
      <c r="I1765" s="1">
        <v>175.53</v>
      </c>
      <c r="J1765" s="1">
        <v>82.22</v>
      </c>
      <c r="K1765" s="8" t="str">
        <f t="shared" si="27"/>
        <v>Dec</v>
      </c>
    </row>
    <row r="1766" spans="1:11">
      <c r="A1766" s="1" t="s">
        <v>1790</v>
      </c>
      <c r="B1766" s="2">
        <v>45894</v>
      </c>
      <c r="C1766" s="1" t="s">
        <v>36</v>
      </c>
      <c r="D1766" s="1" t="s">
        <v>13</v>
      </c>
      <c r="E1766" s="1" t="s">
        <v>20</v>
      </c>
      <c r="F1766" s="1">
        <v>283</v>
      </c>
      <c r="G1766" s="1">
        <v>22.86</v>
      </c>
      <c r="H1766" s="1">
        <v>6469.38</v>
      </c>
      <c r="I1766" s="1">
        <v>4074.46</v>
      </c>
      <c r="J1766" s="1">
        <v>2394.92</v>
      </c>
      <c r="K1766" s="8" t="str">
        <f t="shared" si="27"/>
        <v>Aug</v>
      </c>
    </row>
    <row r="1767" spans="1:11">
      <c r="A1767" s="1" t="s">
        <v>1791</v>
      </c>
      <c r="B1767" s="2">
        <v>45965</v>
      </c>
      <c r="C1767" s="1" t="s">
        <v>16</v>
      </c>
      <c r="D1767" s="1" t="s">
        <v>29</v>
      </c>
      <c r="E1767" s="1" t="s">
        <v>26</v>
      </c>
      <c r="F1767" s="1">
        <v>31</v>
      </c>
      <c r="G1767" s="1">
        <v>25.73</v>
      </c>
      <c r="H1767" s="1">
        <v>797.63</v>
      </c>
      <c r="I1767" s="1">
        <v>593.9</v>
      </c>
      <c r="J1767" s="1">
        <v>203.73</v>
      </c>
      <c r="K1767" s="8" t="str">
        <f t="shared" si="27"/>
        <v>Nov</v>
      </c>
    </row>
    <row r="1768" spans="1:11">
      <c r="A1768" s="1" t="s">
        <v>1792</v>
      </c>
      <c r="B1768" s="2">
        <v>45827</v>
      </c>
      <c r="C1768" s="1" t="s">
        <v>22</v>
      </c>
      <c r="D1768" s="1" t="s">
        <v>29</v>
      </c>
      <c r="E1768" s="1" t="s">
        <v>26</v>
      </c>
      <c r="F1768" s="1">
        <v>104</v>
      </c>
      <c r="G1768" s="1">
        <v>35.79</v>
      </c>
      <c r="H1768" s="1">
        <v>3722.16</v>
      </c>
      <c r="I1768" s="1">
        <v>2637.67</v>
      </c>
      <c r="J1768" s="1">
        <v>1084.49</v>
      </c>
      <c r="K1768" s="8" t="str">
        <f t="shared" si="27"/>
        <v>Jun</v>
      </c>
    </row>
    <row r="1769" spans="1:11">
      <c r="A1769" s="1" t="s">
        <v>1793</v>
      </c>
      <c r="B1769" s="2">
        <v>46015</v>
      </c>
      <c r="C1769" s="1" t="s">
        <v>28</v>
      </c>
      <c r="D1769" s="1" t="s">
        <v>13</v>
      </c>
      <c r="E1769" s="1" t="s">
        <v>18</v>
      </c>
      <c r="F1769" s="1">
        <v>126</v>
      </c>
      <c r="G1769" s="1">
        <v>22.26</v>
      </c>
      <c r="H1769" s="1">
        <v>2804.76</v>
      </c>
      <c r="I1769" s="1">
        <v>2214.38</v>
      </c>
      <c r="J1769" s="1">
        <v>590.38</v>
      </c>
      <c r="K1769" s="8" t="str">
        <f t="shared" si="27"/>
        <v>Dec</v>
      </c>
    </row>
    <row r="1770" spans="1:11">
      <c r="A1770" s="1" t="s">
        <v>1794</v>
      </c>
      <c r="B1770" s="2">
        <v>45712</v>
      </c>
      <c r="C1770" s="1" t="s">
        <v>36</v>
      </c>
      <c r="D1770" s="1" t="s">
        <v>13</v>
      </c>
      <c r="E1770" s="1" t="s">
        <v>20</v>
      </c>
      <c r="F1770" s="1">
        <v>87</v>
      </c>
      <c r="G1770" s="1">
        <v>31.96</v>
      </c>
      <c r="H1770" s="1">
        <v>2780.52</v>
      </c>
      <c r="I1770" s="1">
        <v>1869.53</v>
      </c>
      <c r="J1770" s="1">
        <v>910.99</v>
      </c>
      <c r="K1770" s="8" t="str">
        <f t="shared" si="27"/>
        <v>Feb</v>
      </c>
    </row>
    <row r="1771" spans="1:11">
      <c r="A1771" s="1" t="s">
        <v>1795</v>
      </c>
      <c r="B1771" s="2">
        <v>45793</v>
      </c>
      <c r="C1771" s="1" t="s">
        <v>22</v>
      </c>
      <c r="D1771" s="1" t="s">
        <v>17</v>
      </c>
      <c r="E1771" s="1" t="s">
        <v>26</v>
      </c>
      <c r="F1771" s="1">
        <v>73</v>
      </c>
      <c r="G1771" s="1">
        <v>33.450000000000003</v>
      </c>
      <c r="H1771" s="1">
        <v>2441.85</v>
      </c>
      <c r="I1771" s="1">
        <v>1679.29</v>
      </c>
      <c r="J1771" s="1">
        <v>762.56</v>
      </c>
      <c r="K1771" s="8" t="str">
        <f t="shared" si="27"/>
        <v>May</v>
      </c>
    </row>
    <row r="1772" spans="1:11">
      <c r="A1772" s="1" t="s">
        <v>1796</v>
      </c>
      <c r="B1772" s="2">
        <v>45760</v>
      </c>
      <c r="C1772" s="1" t="s">
        <v>12</v>
      </c>
      <c r="D1772" s="1" t="s">
        <v>29</v>
      </c>
      <c r="E1772" s="1" t="s">
        <v>26</v>
      </c>
      <c r="F1772" s="1">
        <v>44</v>
      </c>
      <c r="G1772" s="1">
        <v>14.03</v>
      </c>
      <c r="H1772" s="1">
        <v>617.32000000000005</v>
      </c>
      <c r="I1772" s="1">
        <v>376.22</v>
      </c>
      <c r="J1772" s="1">
        <v>241.1</v>
      </c>
      <c r="K1772" s="8" t="str">
        <f t="shared" si="27"/>
        <v>Apr</v>
      </c>
    </row>
    <row r="1773" spans="1:11">
      <c r="A1773" s="1" t="s">
        <v>1797</v>
      </c>
      <c r="B1773" s="2">
        <v>45729</v>
      </c>
      <c r="C1773" s="1" t="s">
        <v>28</v>
      </c>
      <c r="D1773" s="1" t="s">
        <v>29</v>
      </c>
      <c r="E1773" s="1" t="s">
        <v>23</v>
      </c>
      <c r="F1773" s="1">
        <v>146</v>
      </c>
      <c r="G1773" s="1">
        <v>26.41</v>
      </c>
      <c r="H1773" s="1">
        <v>3855.86</v>
      </c>
      <c r="I1773" s="1">
        <v>3032.52</v>
      </c>
      <c r="J1773" s="1">
        <v>823.34</v>
      </c>
      <c r="K1773" s="8" t="str">
        <f t="shared" si="27"/>
        <v>Mar</v>
      </c>
    </row>
    <row r="1774" spans="1:11">
      <c r="A1774" s="1" t="s">
        <v>1798</v>
      </c>
      <c r="B1774" s="2">
        <v>45782</v>
      </c>
      <c r="C1774" s="1" t="s">
        <v>36</v>
      </c>
      <c r="D1774" s="1" t="s">
        <v>29</v>
      </c>
      <c r="E1774" s="1" t="s">
        <v>33</v>
      </c>
      <c r="F1774" s="1">
        <v>158</v>
      </c>
      <c r="G1774" s="1">
        <v>26.95</v>
      </c>
      <c r="H1774" s="1">
        <v>4258.1000000000004</v>
      </c>
      <c r="I1774" s="1">
        <v>2941.06</v>
      </c>
      <c r="J1774" s="1">
        <v>1317.04</v>
      </c>
      <c r="K1774" s="8" t="str">
        <f t="shared" si="27"/>
        <v>May</v>
      </c>
    </row>
    <row r="1775" spans="1:11">
      <c r="A1775" s="1" t="s">
        <v>1799</v>
      </c>
      <c r="B1775" s="2">
        <v>45920</v>
      </c>
      <c r="C1775" s="1" t="s">
        <v>28</v>
      </c>
      <c r="D1775" s="1" t="s">
        <v>13</v>
      </c>
      <c r="E1775" s="1" t="s">
        <v>20</v>
      </c>
      <c r="F1775" s="1">
        <v>66</v>
      </c>
      <c r="G1775" s="1">
        <v>23.65</v>
      </c>
      <c r="H1775" s="1">
        <v>1560.9</v>
      </c>
      <c r="I1775" s="1">
        <v>1223.49</v>
      </c>
      <c r="J1775" s="1">
        <v>337.41</v>
      </c>
      <c r="K1775" s="8" t="str">
        <f t="shared" si="27"/>
        <v>Sep</v>
      </c>
    </row>
    <row r="1776" spans="1:11">
      <c r="A1776" s="1" t="s">
        <v>1800</v>
      </c>
      <c r="B1776" s="2">
        <v>45812</v>
      </c>
      <c r="C1776" s="1" t="s">
        <v>28</v>
      </c>
      <c r="D1776" s="1" t="s">
        <v>13</v>
      </c>
      <c r="E1776" s="1" t="s">
        <v>18</v>
      </c>
      <c r="F1776" s="1">
        <v>289</v>
      </c>
      <c r="G1776" s="1">
        <v>23.1</v>
      </c>
      <c r="H1776" s="1">
        <v>6675.9</v>
      </c>
      <c r="I1776" s="1">
        <v>4213.08</v>
      </c>
      <c r="J1776" s="1">
        <v>2462.8200000000002</v>
      </c>
      <c r="K1776" s="8" t="str">
        <f t="shared" si="27"/>
        <v>Jun</v>
      </c>
    </row>
    <row r="1777" spans="1:11">
      <c r="A1777" s="1" t="s">
        <v>1801</v>
      </c>
      <c r="B1777" s="2">
        <v>45856</v>
      </c>
      <c r="C1777" s="1" t="s">
        <v>22</v>
      </c>
      <c r="D1777" s="1" t="s">
        <v>13</v>
      </c>
      <c r="E1777" s="1" t="s">
        <v>14</v>
      </c>
      <c r="F1777" s="1">
        <v>156</v>
      </c>
      <c r="G1777" s="1">
        <v>17.5</v>
      </c>
      <c r="H1777" s="1">
        <v>2730</v>
      </c>
      <c r="I1777" s="1">
        <v>2167.79</v>
      </c>
      <c r="J1777" s="1">
        <v>562.21</v>
      </c>
      <c r="K1777" s="8" t="str">
        <f t="shared" si="27"/>
        <v>Jul</v>
      </c>
    </row>
    <row r="1778" spans="1:11">
      <c r="A1778" s="1" t="s">
        <v>1802</v>
      </c>
      <c r="B1778" s="2">
        <v>45873</v>
      </c>
      <c r="C1778" s="1" t="s">
        <v>12</v>
      </c>
      <c r="D1778" s="1" t="s">
        <v>17</v>
      </c>
      <c r="E1778" s="1" t="s">
        <v>14</v>
      </c>
      <c r="F1778" s="1">
        <v>129</v>
      </c>
      <c r="G1778" s="1">
        <v>19.260000000000002</v>
      </c>
      <c r="H1778" s="1">
        <v>2484.54</v>
      </c>
      <c r="I1778" s="1">
        <v>1952.31</v>
      </c>
      <c r="J1778" s="1">
        <v>532.23</v>
      </c>
      <c r="K1778" s="8" t="str">
        <f t="shared" si="27"/>
        <v>Aug</v>
      </c>
    </row>
    <row r="1779" spans="1:11">
      <c r="A1779" s="1" t="s">
        <v>1803</v>
      </c>
      <c r="B1779" s="2">
        <v>45898</v>
      </c>
      <c r="C1779" s="1" t="s">
        <v>31</v>
      </c>
      <c r="D1779" s="1" t="s">
        <v>17</v>
      </c>
      <c r="E1779" s="1" t="s">
        <v>20</v>
      </c>
      <c r="F1779" s="1">
        <v>136</v>
      </c>
      <c r="G1779" s="1">
        <v>19.670000000000002</v>
      </c>
      <c r="H1779" s="1">
        <v>2675.12</v>
      </c>
      <c r="I1779" s="1">
        <v>1973.71</v>
      </c>
      <c r="J1779" s="1">
        <v>701.41</v>
      </c>
      <c r="K1779" s="8" t="str">
        <f t="shared" si="27"/>
        <v>Aug</v>
      </c>
    </row>
    <row r="1780" spans="1:11">
      <c r="A1780" s="1" t="s">
        <v>1804</v>
      </c>
      <c r="B1780" s="2">
        <v>45882</v>
      </c>
      <c r="C1780" s="1" t="s">
        <v>12</v>
      </c>
      <c r="D1780" s="1" t="s">
        <v>29</v>
      </c>
      <c r="E1780" s="1" t="s">
        <v>20</v>
      </c>
      <c r="F1780" s="1">
        <v>23</v>
      </c>
      <c r="G1780" s="1">
        <v>30.03</v>
      </c>
      <c r="H1780" s="1">
        <v>690.69</v>
      </c>
      <c r="I1780" s="1">
        <v>486.76</v>
      </c>
      <c r="J1780" s="1">
        <v>203.93</v>
      </c>
      <c r="K1780" s="8" t="str">
        <f t="shared" si="27"/>
        <v>Aug</v>
      </c>
    </row>
    <row r="1781" spans="1:11">
      <c r="A1781" s="1" t="s">
        <v>1805</v>
      </c>
      <c r="B1781" s="2">
        <v>46007</v>
      </c>
      <c r="C1781" s="1" t="s">
        <v>28</v>
      </c>
      <c r="D1781" s="1" t="s">
        <v>17</v>
      </c>
      <c r="E1781" s="1" t="s">
        <v>14</v>
      </c>
      <c r="F1781" s="1">
        <v>143</v>
      </c>
      <c r="G1781" s="1">
        <v>26.18</v>
      </c>
      <c r="H1781" s="1">
        <v>3743.74</v>
      </c>
      <c r="I1781" s="1">
        <v>2425.3200000000002</v>
      </c>
      <c r="J1781" s="1">
        <v>1318.42</v>
      </c>
      <c r="K1781" s="8" t="str">
        <f t="shared" si="27"/>
        <v>Dec</v>
      </c>
    </row>
    <row r="1782" spans="1:11">
      <c r="A1782" s="1" t="s">
        <v>1806</v>
      </c>
      <c r="B1782" s="2">
        <v>45819</v>
      </c>
      <c r="C1782" s="1" t="s">
        <v>36</v>
      </c>
      <c r="D1782" s="1" t="s">
        <v>13</v>
      </c>
      <c r="E1782" s="1" t="s">
        <v>23</v>
      </c>
      <c r="F1782" s="1">
        <v>104</v>
      </c>
      <c r="G1782" s="1">
        <v>39.82</v>
      </c>
      <c r="H1782" s="1">
        <v>4141.28</v>
      </c>
      <c r="I1782" s="1">
        <v>2872.53</v>
      </c>
      <c r="J1782" s="1">
        <v>1268.75</v>
      </c>
      <c r="K1782" s="8" t="str">
        <f t="shared" si="27"/>
        <v>Jun</v>
      </c>
    </row>
    <row r="1783" spans="1:11">
      <c r="A1783" s="1" t="s">
        <v>1807</v>
      </c>
      <c r="B1783" s="2">
        <v>45879</v>
      </c>
      <c r="C1783" s="1" t="s">
        <v>28</v>
      </c>
      <c r="D1783" s="1" t="s">
        <v>29</v>
      </c>
      <c r="E1783" s="1" t="s">
        <v>18</v>
      </c>
      <c r="F1783" s="1">
        <v>146</v>
      </c>
      <c r="G1783" s="1">
        <v>16.87</v>
      </c>
      <c r="H1783" s="1">
        <v>2463.02</v>
      </c>
      <c r="I1783" s="1">
        <v>1877.79</v>
      </c>
      <c r="J1783" s="1">
        <v>585.23</v>
      </c>
      <c r="K1783" s="8" t="str">
        <f t="shared" si="27"/>
        <v>Aug</v>
      </c>
    </row>
    <row r="1784" spans="1:11">
      <c r="A1784" s="1" t="s">
        <v>1808</v>
      </c>
      <c r="B1784" s="2">
        <v>45725</v>
      </c>
      <c r="C1784" s="1" t="s">
        <v>16</v>
      </c>
      <c r="D1784" s="1" t="s">
        <v>17</v>
      </c>
      <c r="E1784" s="1" t="s">
        <v>23</v>
      </c>
      <c r="F1784" s="1">
        <v>162</v>
      </c>
      <c r="G1784" s="1">
        <v>38.92</v>
      </c>
      <c r="H1784" s="1">
        <v>6305.04</v>
      </c>
      <c r="I1784" s="1">
        <v>5020.13</v>
      </c>
      <c r="J1784" s="1">
        <v>1284.9100000000001</v>
      </c>
      <c r="K1784" s="8" t="str">
        <f t="shared" si="27"/>
        <v>Mar</v>
      </c>
    </row>
    <row r="1785" spans="1:11">
      <c r="A1785" s="1" t="s">
        <v>1809</v>
      </c>
      <c r="B1785" s="2">
        <v>45934</v>
      </c>
      <c r="C1785" s="1" t="s">
        <v>36</v>
      </c>
      <c r="D1785" s="1" t="s">
        <v>17</v>
      </c>
      <c r="E1785" s="1" t="s">
        <v>18</v>
      </c>
      <c r="F1785" s="1">
        <v>27</v>
      </c>
      <c r="G1785" s="1">
        <v>29.45</v>
      </c>
      <c r="H1785" s="1">
        <v>795.15</v>
      </c>
      <c r="I1785" s="1">
        <v>530.34</v>
      </c>
      <c r="J1785" s="1">
        <v>264.81</v>
      </c>
      <c r="K1785" s="8" t="str">
        <f t="shared" si="27"/>
        <v>Oct</v>
      </c>
    </row>
    <row r="1786" spans="1:11">
      <c r="A1786" s="1" t="s">
        <v>1810</v>
      </c>
      <c r="B1786" s="2">
        <v>45828</v>
      </c>
      <c r="C1786" s="1" t="s">
        <v>12</v>
      </c>
      <c r="D1786" s="1" t="s">
        <v>29</v>
      </c>
      <c r="E1786" s="1" t="s">
        <v>18</v>
      </c>
      <c r="F1786" s="1">
        <v>295</v>
      </c>
      <c r="G1786" s="1">
        <v>21.44</v>
      </c>
      <c r="H1786" s="1">
        <v>6324.8</v>
      </c>
      <c r="I1786" s="1">
        <v>4730.67</v>
      </c>
      <c r="J1786" s="1">
        <v>1594.13</v>
      </c>
      <c r="K1786" s="8" t="str">
        <f t="shared" si="27"/>
        <v>Jun</v>
      </c>
    </row>
    <row r="1787" spans="1:11">
      <c r="A1787" s="1" t="s">
        <v>1811</v>
      </c>
      <c r="B1787" s="2">
        <v>45756</v>
      </c>
      <c r="C1787" s="1" t="s">
        <v>36</v>
      </c>
      <c r="D1787" s="1" t="s">
        <v>13</v>
      </c>
      <c r="E1787" s="1" t="s">
        <v>18</v>
      </c>
      <c r="F1787" s="1">
        <v>85</v>
      </c>
      <c r="G1787" s="1">
        <v>19.47</v>
      </c>
      <c r="H1787" s="1">
        <v>1654.95</v>
      </c>
      <c r="I1787" s="1">
        <v>1140.9100000000001</v>
      </c>
      <c r="J1787" s="1">
        <v>514.04</v>
      </c>
      <c r="K1787" s="8" t="str">
        <f t="shared" si="27"/>
        <v>Apr</v>
      </c>
    </row>
    <row r="1788" spans="1:11">
      <c r="A1788" s="1" t="s">
        <v>1812</v>
      </c>
      <c r="B1788" s="2">
        <v>45895</v>
      </c>
      <c r="C1788" s="1" t="s">
        <v>16</v>
      </c>
      <c r="D1788" s="1" t="s">
        <v>13</v>
      </c>
      <c r="E1788" s="1" t="s">
        <v>23</v>
      </c>
      <c r="F1788" s="1">
        <v>278</v>
      </c>
      <c r="G1788" s="1">
        <v>38.75</v>
      </c>
      <c r="H1788" s="1">
        <v>10772.5</v>
      </c>
      <c r="I1788" s="1">
        <v>6892.57</v>
      </c>
      <c r="J1788" s="1">
        <v>3879.93</v>
      </c>
      <c r="K1788" s="8" t="str">
        <f t="shared" si="27"/>
        <v>Aug</v>
      </c>
    </row>
    <row r="1789" spans="1:11">
      <c r="A1789" s="1" t="s">
        <v>1813</v>
      </c>
      <c r="B1789" s="2">
        <v>45722</v>
      </c>
      <c r="C1789" s="1" t="s">
        <v>28</v>
      </c>
      <c r="D1789" s="1" t="s">
        <v>29</v>
      </c>
      <c r="E1789" s="1" t="s">
        <v>18</v>
      </c>
      <c r="F1789" s="1">
        <v>300</v>
      </c>
      <c r="G1789" s="1">
        <v>31.51</v>
      </c>
      <c r="H1789" s="1">
        <v>9453</v>
      </c>
      <c r="I1789" s="1">
        <v>5748.79</v>
      </c>
      <c r="J1789" s="1">
        <v>3704.21</v>
      </c>
      <c r="K1789" s="8" t="str">
        <f t="shared" si="27"/>
        <v>Mar</v>
      </c>
    </row>
    <row r="1790" spans="1:11">
      <c r="A1790" s="1" t="s">
        <v>1814</v>
      </c>
      <c r="B1790" s="2">
        <v>45820</v>
      </c>
      <c r="C1790" s="1" t="s">
        <v>28</v>
      </c>
      <c r="D1790" s="1" t="s">
        <v>17</v>
      </c>
      <c r="E1790" s="1" t="s">
        <v>20</v>
      </c>
      <c r="F1790" s="1">
        <v>106</v>
      </c>
      <c r="G1790" s="1">
        <v>22.24</v>
      </c>
      <c r="H1790" s="1">
        <v>2357.44</v>
      </c>
      <c r="I1790" s="1">
        <v>1576.51</v>
      </c>
      <c r="J1790" s="1">
        <v>780.93</v>
      </c>
      <c r="K1790" s="8" t="str">
        <f t="shared" si="27"/>
        <v>Jun</v>
      </c>
    </row>
    <row r="1791" spans="1:11">
      <c r="A1791" s="1" t="s">
        <v>1815</v>
      </c>
      <c r="B1791" s="2">
        <v>45894</v>
      </c>
      <c r="C1791" s="1" t="s">
        <v>12</v>
      </c>
      <c r="D1791" s="1" t="s">
        <v>17</v>
      </c>
      <c r="E1791" s="1" t="s">
        <v>33</v>
      </c>
      <c r="F1791" s="1">
        <v>274</v>
      </c>
      <c r="G1791" s="1">
        <v>39.74</v>
      </c>
      <c r="H1791" s="1">
        <v>10888.76</v>
      </c>
      <c r="I1791" s="1">
        <v>8164.04</v>
      </c>
      <c r="J1791" s="1">
        <v>2724.72</v>
      </c>
      <c r="K1791" s="8" t="str">
        <f t="shared" si="27"/>
        <v>Aug</v>
      </c>
    </row>
    <row r="1792" spans="1:11">
      <c r="A1792" s="1" t="s">
        <v>1816</v>
      </c>
      <c r="B1792" s="2">
        <v>45933</v>
      </c>
      <c r="C1792" s="1" t="s">
        <v>28</v>
      </c>
      <c r="D1792" s="1" t="s">
        <v>29</v>
      </c>
      <c r="E1792" s="1" t="s">
        <v>33</v>
      </c>
      <c r="F1792" s="1">
        <v>262</v>
      </c>
      <c r="G1792" s="1">
        <v>38.409999999999997</v>
      </c>
      <c r="H1792" s="1">
        <v>10063.42</v>
      </c>
      <c r="I1792" s="1">
        <v>6503.48</v>
      </c>
      <c r="J1792" s="1">
        <v>3559.94</v>
      </c>
      <c r="K1792" s="8" t="str">
        <f t="shared" si="27"/>
        <v>Oct</v>
      </c>
    </row>
    <row r="1793" spans="1:11">
      <c r="A1793" s="1" t="s">
        <v>1817</v>
      </c>
      <c r="B1793" s="2">
        <v>45944</v>
      </c>
      <c r="C1793" s="1" t="s">
        <v>22</v>
      </c>
      <c r="D1793" s="1" t="s">
        <v>13</v>
      </c>
      <c r="E1793" s="1" t="s">
        <v>14</v>
      </c>
      <c r="F1793" s="1">
        <v>277</v>
      </c>
      <c r="G1793" s="1">
        <v>13.09</v>
      </c>
      <c r="H1793" s="1">
        <v>3625.93</v>
      </c>
      <c r="I1793" s="1">
        <v>2585.64</v>
      </c>
      <c r="J1793" s="1">
        <v>1040.29</v>
      </c>
      <c r="K1793" s="8" t="str">
        <f t="shared" si="27"/>
        <v>Oct</v>
      </c>
    </row>
    <row r="1794" spans="1:11">
      <c r="A1794" s="1" t="s">
        <v>1818</v>
      </c>
      <c r="B1794" s="2">
        <v>45994</v>
      </c>
      <c r="C1794" s="1" t="s">
        <v>16</v>
      </c>
      <c r="D1794" s="1" t="s">
        <v>13</v>
      </c>
      <c r="E1794" s="1" t="s">
        <v>20</v>
      </c>
      <c r="F1794" s="1">
        <v>154</v>
      </c>
      <c r="G1794" s="1">
        <v>18.39</v>
      </c>
      <c r="H1794" s="1">
        <v>2832.06</v>
      </c>
      <c r="I1794" s="1">
        <v>1999.05</v>
      </c>
      <c r="J1794" s="1">
        <v>833.01</v>
      </c>
      <c r="K1794" s="8" t="str">
        <f t="shared" ref="K1794:K1857" si="28">TEXT(B1794,"mmm")</f>
        <v>Dec</v>
      </c>
    </row>
    <row r="1795" spans="1:11">
      <c r="A1795" s="1" t="s">
        <v>1819</v>
      </c>
      <c r="B1795" s="2">
        <v>45926</v>
      </c>
      <c r="C1795" s="1" t="s">
        <v>22</v>
      </c>
      <c r="D1795" s="1" t="s">
        <v>29</v>
      </c>
      <c r="E1795" s="1" t="s">
        <v>23</v>
      </c>
      <c r="F1795" s="1">
        <v>135</v>
      </c>
      <c r="G1795" s="1">
        <v>19.309999999999999</v>
      </c>
      <c r="H1795" s="1">
        <v>2606.85</v>
      </c>
      <c r="I1795" s="1">
        <v>1993.36</v>
      </c>
      <c r="J1795" s="1">
        <v>613.49</v>
      </c>
      <c r="K1795" s="8" t="str">
        <f t="shared" si="28"/>
        <v>Sep</v>
      </c>
    </row>
    <row r="1796" spans="1:11">
      <c r="A1796" s="1" t="s">
        <v>1820</v>
      </c>
      <c r="B1796" s="2">
        <v>45749</v>
      </c>
      <c r="C1796" s="1" t="s">
        <v>36</v>
      </c>
      <c r="D1796" s="1" t="s">
        <v>17</v>
      </c>
      <c r="E1796" s="1" t="s">
        <v>18</v>
      </c>
      <c r="F1796" s="1">
        <v>220</v>
      </c>
      <c r="G1796" s="1">
        <v>12.11</v>
      </c>
      <c r="H1796" s="1">
        <v>2664.2</v>
      </c>
      <c r="I1796" s="1">
        <v>1721.75</v>
      </c>
      <c r="J1796" s="1">
        <v>942.45</v>
      </c>
      <c r="K1796" s="8" t="str">
        <f t="shared" si="28"/>
        <v>Apr</v>
      </c>
    </row>
    <row r="1797" spans="1:11">
      <c r="A1797" s="1" t="s">
        <v>1821</v>
      </c>
      <c r="B1797" s="2">
        <v>45703</v>
      </c>
      <c r="C1797" s="1" t="s">
        <v>12</v>
      </c>
      <c r="D1797" s="1" t="s">
        <v>13</v>
      </c>
      <c r="E1797" s="1" t="s">
        <v>20</v>
      </c>
      <c r="F1797" s="1">
        <v>161</v>
      </c>
      <c r="G1797" s="1">
        <v>31.81</v>
      </c>
      <c r="H1797" s="1">
        <v>5121.41</v>
      </c>
      <c r="I1797" s="1">
        <v>3449.57</v>
      </c>
      <c r="J1797" s="1">
        <v>1671.84</v>
      </c>
      <c r="K1797" s="8" t="str">
        <f t="shared" si="28"/>
        <v>Feb</v>
      </c>
    </row>
    <row r="1798" spans="1:11">
      <c r="A1798" s="1" t="s">
        <v>1822</v>
      </c>
      <c r="B1798" s="2">
        <v>45876</v>
      </c>
      <c r="C1798" s="1" t="s">
        <v>36</v>
      </c>
      <c r="D1798" s="1" t="s">
        <v>13</v>
      </c>
      <c r="E1798" s="1" t="s">
        <v>20</v>
      </c>
      <c r="F1798" s="1">
        <v>127</v>
      </c>
      <c r="G1798" s="1">
        <v>29.42</v>
      </c>
      <c r="H1798" s="1">
        <v>3736.34</v>
      </c>
      <c r="I1798" s="1">
        <v>2418.5</v>
      </c>
      <c r="J1798" s="1">
        <v>1317.84</v>
      </c>
      <c r="K1798" s="8" t="str">
        <f t="shared" si="28"/>
        <v>Aug</v>
      </c>
    </row>
    <row r="1799" spans="1:11">
      <c r="A1799" s="1" t="s">
        <v>1823</v>
      </c>
      <c r="B1799" s="2">
        <v>45664</v>
      </c>
      <c r="C1799" s="1" t="s">
        <v>36</v>
      </c>
      <c r="D1799" s="1" t="s">
        <v>17</v>
      </c>
      <c r="E1799" s="1" t="s">
        <v>20</v>
      </c>
      <c r="F1799" s="1">
        <v>293</v>
      </c>
      <c r="G1799" s="1">
        <v>26.43</v>
      </c>
      <c r="H1799" s="1">
        <v>7743.99</v>
      </c>
      <c r="I1799" s="1">
        <v>6074.59</v>
      </c>
      <c r="J1799" s="1">
        <v>1669.4</v>
      </c>
      <c r="K1799" s="8" t="str">
        <f t="shared" si="28"/>
        <v>Jan</v>
      </c>
    </row>
    <row r="1800" spans="1:11">
      <c r="A1800" s="1" t="s">
        <v>1824</v>
      </c>
      <c r="B1800" s="2">
        <v>45776</v>
      </c>
      <c r="C1800" s="1" t="s">
        <v>36</v>
      </c>
      <c r="D1800" s="1" t="s">
        <v>29</v>
      </c>
      <c r="E1800" s="1" t="s">
        <v>33</v>
      </c>
      <c r="F1800" s="1">
        <v>117</v>
      </c>
      <c r="G1800" s="1">
        <v>28.44</v>
      </c>
      <c r="H1800" s="1">
        <v>3327.48</v>
      </c>
      <c r="I1800" s="1">
        <v>2248.36</v>
      </c>
      <c r="J1800" s="1">
        <v>1079.1199999999999</v>
      </c>
      <c r="K1800" s="8" t="str">
        <f t="shared" si="28"/>
        <v>Apr</v>
      </c>
    </row>
    <row r="1801" spans="1:11">
      <c r="A1801" s="1" t="s">
        <v>1825</v>
      </c>
      <c r="B1801" s="2">
        <v>45996</v>
      </c>
      <c r="C1801" s="1" t="s">
        <v>31</v>
      </c>
      <c r="D1801" s="1" t="s">
        <v>17</v>
      </c>
      <c r="E1801" s="1" t="s">
        <v>26</v>
      </c>
      <c r="F1801" s="1">
        <v>121</v>
      </c>
      <c r="G1801" s="1">
        <v>31.45</v>
      </c>
      <c r="H1801" s="1">
        <v>3805.45</v>
      </c>
      <c r="I1801" s="1">
        <v>2883.11</v>
      </c>
      <c r="J1801" s="1">
        <v>922.34</v>
      </c>
      <c r="K1801" s="8" t="str">
        <f t="shared" si="28"/>
        <v>Dec</v>
      </c>
    </row>
    <row r="1802" spans="1:11">
      <c r="A1802" s="1" t="s">
        <v>1826</v>
      </c>
      <c r="B1802" s="2">
        <v>45775</v>
      </c>
      <c r="C1802" s="1" t="s">
        <v>22</v>
      </c>
      <c r="D1802" s="1" t="s">
        <v>13</v>
      </c>
      <c r="E1802" s="1" t="s">
        <v>18</v>
      </c>
      <c r="F1802" s="1">
        <v>277</v>
      </c>
      <c r="G1802" s="1">
        <v>20.34</v>
      </c>
      <c r="H1802" s="1">
        <v>5634.18</v>
      </c>
      <c r="I1802" s="1">
        <v>3595.93</v>
      </c>
      <c r="J1802" s="1">
        <v>2038.25</v>
      </c>
      <c r="K1802" s="8" t="str">
        <f t="shared" si="28"/>
        <v>Apr</v>
      </c>
    </row>
    <row r="1803" spans="1:11">
      <c r="A1803" s="1" t="s">
        <v>1827</v>
      </c>
      <c r="B1803" s="2">
        <v>45884</v>
      </c>
      <c r="C1803" s="1" t="s">
        <v>36</v>
      </c>
      <c r="D1803" s="1" t="s">
        <v>13</v>
      </c>
      <c r="E1803" s="1" t="s">
        <v>18</v>
      </c>
      <c r="F1803" s="1">
        <v>83</v>
      </c>
      <c r="G1803" s="1">
        <v>18.63</v>
      </c>
      <c r="H1803" s="1">
        <v>1546.29</v>
      </c>
      <c r="I1803" s="1">
        <v>936.56</v>
      </c>
      <c r="J1803" s="1">
        <v>609.73</v>
      </c>
      <c r="K1803" s="8" t="str">
        <f t="shared" si="28"/>
        <v>Aug</v>
      </c>
    </row>
    <row r="1804" spans="1:11">
      <c r="A1804" s="1" t="s">
        <v>1828</v>
      </c>
      <c r="B1804" s="2">
        <v>45971</v>
      </c>
      <c r="C1804" s="1" t="s">
        <v>31</v>
      </c>
      <c r="D1804" s="1" t="s">
        <v>17</v>
      </c>
      <c r="E1804" s="1" t="s">
        <v>18</v>
      </c>
      <c r="F1804" s="1">
        <v>119</v>
      </c>
      <c r="G1804" s="1">
        <v>22.24</v>
      </c>
      <c r="H1804" s="1">
        <v>2646.56</v>
      </c>
      <c r="I1804" s="1">
        <v>1963.78</v>
      </c>
      <c r="J1804" s="1">
        <v>682.78</v>
      </c>
      <c r="K1804" s="8" t="str">
        <f t="shared" si="28"/>
        <v>Nov</v>
      </c>
    </row>
    <row r="1805" spans="1:11">
      <c r="A1805" s="1" t="s">
        <v>1829</v>
      </c>
      <c r="B1805" s="2">
        <v>45905</v>
      </c>
      <c r="C1805" s="1" t="s">
        <v>31</v>
      </c>
      <c r="D1805" s="1" t="s">
        <v>17</v>
      </c>
      <c r="E1805" s="1" t="s">
        <v>14</v>
      </c>
      <c r="F1805" s="1">
        <v>119</v>
      </c>
      <c r="G1805" s="1">
        <v>14.28</v>
      </c>
      <c r="H1805" s="1">
        <v>1699.32</v>
      </c>
      <c r="I1805" s="1">
        <v>1054.23</v>
      </c>
      <c r="J1805" s="1">
        <v>645.09</v>
      </c>
      <c r="K1805" s="8" t="str">
        <f t="shared" si="28"/>
        <v>Sep</v>
      </c>
    </row>
    <row r="1806" spans="1:11">
      <c r="A1806" s="1" t="s">
        <v>1830</v>
      </c>
      <c r="B1806" s="2">
        <v>45876</v>
      </c>
      <c r="C1806" s="1" t="s">
        <v>16</v>
      </c>
      <c r="D1806" s="1" t="s">
        <v>17</v>
      </c>
      <c r="E1806" s="1" t="s">
        <v>33</v>
      </c>
      <c r="F1806" s="1">
        <v>199</v>
      </c>
      <c r="G1806" s="1">
        <v>21.98</v>
      </c>
      <c r="H1806" s="1">
        <v>4374.0200000000004</v>
      </c>
      <c r="I1806" s="1">
        <v>2818.11</v>
      </c>
      <c r="J1806" s="1">
        <v>1555.91</v>
      </c>
      <c r="K1806" s="8" t="str">
        <f t="shared" si="28"/>
        <v>Aug</v>
      </c>
    </row>
    <row r="1807" spans="1:11">
      <c r="A1807" s="1" t="s">
        <v>1831</v>
      </c>
      <c r="B1807" s="2">
        <v>45798</v>
      </c>
      <c r="C1807" s="1" t="s">
        <v>16</v>
      </c>
      <c r="D1807" s="1" t="s">
        <v>13</v>
      </c>
      <c r="E1807" s="1" t="s">
        <v>20</v>
      </c>
      <c r="F1807" s="1">
        <v>223</v>
      </c>
      <c r="G1807" s="1">
        <v>37.44</v>
      </c>
      <c r="H1807" s="1">
        <v>8349.1200000000008</v>
      </c>
      <c r="I1807" s="1">
        <v>5394.88</v>
      </c>
      <c r="J1807" s="1">
        <v>2954.24</v>
      </c>
      <c r="K1807" s="8" t="str">
        <f t="shared" si="28"/>
        <v>May</v>
      </c>
    </row>
    <row r="1808" spans="1:11">
      <c r="A1808" s="1" t="s">
        <v>1832</v>
      </c>
      <c r="B1808" s="2">
        <v>45862</v>
      </c>
      <c r="C1808" s="1" t="s">
        <v>16</v>
      </c>
      <c r="D1808" s="1" t="s">
        <v>13</v>
      </c>
      <c r="E1808" s="1" t="s">
        <v>23</v>
      </c>
      <c r="F1808" s="1">
        <v>289</v>
      </c>
      <c r="G1808" s="1">
        <v>25.92</v>
      </c>
      <c r="H1808" s="1">
        <v>7490.88</v>
      </c>
      <c r="I1808" s="1">
        <v>4834.04</v>
      </c>
      <c r="J1808" s="1">
        <v>2656.84</v>
      </c>
      <c r="K1808" s="8" t="str">
        <f t="shared" si="28"/>
        <v>Jul</v>
      </c>
    </row>
    <row r="1809" spans="1:11">
      <c r="A1809" s="1" t="s">
        <v>1833</v>
      </c>
      <c r="B1809" s="2">
        <v>45969</v>
      </c>
      <c r="C1809" s="1" t="s">
        <v>22</v>
      </c>
      <c r="D1809" s="1" t="s">
        <v>13</v>
      </c>
      <c r="E1809" s="1" t="s">
        <v>33</v>
      </c>
      <c r="F1809" s="1">
        <v>240</v>
      </c>
      <c r="G1809" s="1">
        <v>22.52</v>
      </c>
      <c r="H1809" s="1">
        <v>5404.8</v>
      </c>
      <c r="I1809" s="1">
        <v>3393.61</v>
      </c>
      <c r="J1809" s="1">
        <v>2011.19</v>
      </c>
      <c r="K1809" s="8" t="str">
        <f t="shared" si="28"/>
        <v>Nov</v>
      </c>
    </row>
    <row r="1810" spans="1:11">
      <c r="A1810" s="1" t="s">
        <v>1834</v>
      </c>
      <c r="B1810" s="2">
        <v>45745</v>
      </c>
      <c r="C1810" s="1" t="s">
        <v>22</v>
      </c>
      <c r="D1810" s="1" t="s">
        <v>29</v>
      </c>
      <c r="E1810" s="1" t="s">
        <v>20</v>
      </c>
      <c r="F1810" s="1">
        <v>288</v>
      </c>
      <c r="G1810" s="1">
        <v>23.11</v>
      </c>
      <c r="H1810" s="1">
        <v>6655.68</v>
      </c>
      <c r="I1810" s="1">
        <v>4597</v>
      </c>
      <c r="J1810" s="1">
        <v>2058.6799999999998</v>
      </c>
      <c r="K1810" s="8" t="str">
        <f t="shared" si="28"/>
        <v>Mar</v>
      </c>
    </row>
    <row r="1811" spans="1:11">
      <c r="A1811" s="1" t="s">
        <v>1835</v>
      </c>
      <c r="B1811" s="2">
        <v>45821</v>
      </c>
      <c r="C1811" s="1" t="s">
        <v>31</v>
      </c>
      <c r="D1811" s="1" t="s">
        <v>17</v>
      </c>
      <c r="E1811" s="1" t="s">
        <v>18</v>
      </c>
      <c r="F1811" s="1">
        <v>244</v>
      </c>
      <c r="G1811" s="1">
        <v>21.12</v>
      </c>
      <c r="H1811" s="1">
        <v>5153.28</v>
      </c>
      <c r="I1811" s="1">
        <v>3671.98</v>
      </c>
      <c r="J1811" s="1">
        <v>1481.3</v>
      </c>
      <c r="K1811" s="8" t="str">
        <f t="shared" si="28"/>
        <v>Jun</v>
      </c>
    </row>
    <row r="1812" spans="1:11">
      <c r="A1812" s="1" t="s">
        <v>1836</v>
      </c>
      <c r="B1812" s="2">
        <v>45741</v>
      </c>
      <c r="C1812" s="1" t="s">
        <v>22</v>
      </c>
      <c r="D1812" s="1" t="s">
        <v>13</v>
      </c>
      <c r="E1812" s="1" t="s">
        <v>20</v>
      </c>
      <c r="F1812" s="1">
        <v>71</v>
      </c>
      <c r="G1812" s="1">
        <v>32.869999999999997</v>
      </c>
      <c r="H1812" s="1">
        <v>2333.77</v>
      </c>
      <c r="I1812" s="1">
        <v>1602.32</v>
      </c>
      <c r="J1812" s="1">
        <v>731.45</v>
      </c>
      <c r="K1812" s="8" t="str">
        <f t="shared" si="28"/>
        <v>Mar</v>
      </c>
    </row>
    <row r="1813" spans="1:11">
      <c r="A1813" s="1" t="s">
        <v>1837</v>
      </c>
      <c r="B1813" s="2">
        <v>45835</v>
      </c>
      <c r="C1813" s="1" t="s">
        <v>28</v>
      </c>
      <c r="D1813" s="1" t="s">
        <v>13</v>
      </c>
      <c r="E1813" s="1" t="s">
        <v>26</v>
      </c>
      <c r="F1813" s="1">
        <v>127</v>
      </c>
      <c r="G1813" s="1">
        <v>17.38</v>
      </c>
      <c r="H1813" s="1">
        <v>2207.2600000000002</v>
      </c>
      <c r="I1813" s="1">
        <v>1697.15</v>
      </c>
      <c r="J1813" s="1">
        <v>510.11</v>
      </c>
      <c r="K1813" s="8" t="str">
        <f t="shared" si="28"/>
        <v>Jun</v>
      </c>
    </row>
    <row r="1814" spans="1:11">
      <c r="A1814" s="1" t="s">
        <v>1838</v>
      </c>
      <c r="B1814" s="2">
        <v>45753</v>
      </c>
      <c r="C1814" s="1" t="s">
        <v>28</v>
      </c>
      <c r="D1814" s="1" t="s">
        <v>17</v>
      </c>
      <c r="E1814" s="1" t="s">
        <v>26</v>
      </c>
      <c r="F1814" s="1">
        <v>290</v>
      </c>
      <c r="G1814" s="1">
        <v>34.93</v>
      </c>
      <c r="H1814" s="1">
        <v>10129.700000000001</v>
      </c>
      <c r="I1814" s="1">
        <v>6932.47</v>
      </c>
      <c r="J1814" s="1">
        <v>3197.23</v>
      </c>
      <c r="K1814" s="8" t="str">
        <f t="shared" si="28"/>
        <v>Apr</v>
      </c>
    </row>
    <row r="1815" spans="1:11">
      <c r="A1815" s="1" t="s">
        <v>1839</v>
      </c>
      <c r="B1815" s="2">
        <v>45744</v>
      </c>
      <c r="C1815" s="1" t="s">
        <v>31</v>
      </c>
      <c r="D1815" s="1" t="s">
        <v>13</v>
      </c>
      <c r="E1815" s="1" t="s">
        <v>33</v>
      </c>
      <c r="F1815" s="1">
        <v>144</v>
      </c>
      <c r="G1815" s="1">
        <v>29.15</v>
      </c>
      <c r="H1815" s="1">
        <v>4197.6000000000004</v>
      </c>
      <c r="I1815" s="1">
        <v>2699.96</v>
      </c>
      <c r="J1815" s="1">
        <v>1497.64</v>
      </c>
      <c r="K1815" s="8" t="str">
        <f t="shared" si="28"/>
        <v>Mar</v>
      </c>
    </row>
    <row r="1816" spans="1:11">
      <c r="A1816" s="1" t="s">
        <v>1840</v>
      </c>
      <c r="B1816" s="2">
        <v>46004</v>
      </c>
      <c r="C1816" s="1" t="s">
        <v>31</v>
      </c>
      <c r="D1816" s="1" t="s">
        <v>17</v>
      </c>
      <c r="E1816" s="1" t="s">
        <v>20</v>
      </c>
      <c r="F1816" s="1">
        <v>81</v>
      </c>
      <c r="G1816" s="1">
        <v>35.950000000000003</v>
      </c>
      <c r="H1816" s="1">
        <v>2911.95</v>
      </c>
      <c r="I1816" s="1">
        <v>1851.41</v>
      </c>
      <c r="J1816" s="1">
        <v>1060.54</v>
      </c>
      <c r="K1816" s="8" t="str">
        <f t="shared" si="28"/>
        <v>Dec</v>
      </c>
    </row>
    <row r="1817" spans="1:11">
      <c r="A1817" s="1" t="s">
        <v>1841</v>
      </c>
      <c r="B1817" s="2">
        <v>45914</v>
      </c>
      <c r="C1817" s="1" t="s">
        <v>16</v>
      </c>
      <c r="D1817" s="1" t="s">
        <v>13</v>
      </c>
      <c r="E1817" s="1" t="s">
        <v>18</v>
      </c>
      <c r="F1817" s="1">
        <v>20</v>
      </c>
      <c r="G1817" s="1">
        <v>25.45</v>
      </c>
      <c r="H1817" s="1">
        <v>509</v>
      </c>
      <c r="I1817" s="1">
        <v>379.53</v>
      </c>
      <c r="J1817" s="1">
        <v>129.47</v>
      </c>
      <c r="K1817" s="8" t="str">
        <f t="shared" si="28"/>
        <v>Sep</v>
      </c>
    </row>
    <row r="1818" spans="1:11">
      <c r="A1818" s="1" t="s">
        <v>1842</v>
      </c>
      <c r="B1818" s="2">
        <v>45790</v>
      </c>
      <c r="C1818" s="1" t="s">
        <v>31</v>
      </c>
      <c r="D1818" s="1" t="s">
        <v>17</v>
      </c>
      <c r="E1818" s="1" t="s">
        <v>20</v>
      </c>
      <c r="F1818" s="1">
        <v>139</v>
      </c>
      <c r="G1818" s="1">
        <v>15.18</v>
      </c>
      <c r="H1818" s="1">
        <v>2110.02</v>
      </c>
      <c r="I1818" s="1">
        <v>1597.72</v>
      </c>
      <c r="J1818" s="1">
        <v>512.29999999999995</v>
      </c>
      <c r="K1818" s="8" t="str">
        <f t="shared" si="28"/>
        <v>May</v>
      </c>
    </row>
    <row r="1819" spans="1:11">
      <c r="A1819" s="1" t="s">
        <v>1843</v>
      </c>
      <c r="B1819" s="2">
        <v>45908</v>
      </c>
      <c r="C1819" s="1" t="s">
        <v>36</v>
      </c>
      <c r="D1819" s="1" t="s">
        <v>29</v>
      </c>
      <c r="E1819" s="1" t="s">
        <v>18</v>
      </c>
      <c r="F1819" s="1">
        <v>161</v>
      </c>
      <c r="G1819" s="1">
        <v>30.76</v>
      </c>
      <c r="H1819" s="1">
        <v>4952.3599999999997</v>
      </c>
      <c r="I1819" s="1">
        <v>3053.98</v>
      </c>
      <c r="J1819" s="1">
        <v>1898.38</v>
      </c>
      <c r="K1819" s="8" t="str">
        <f t="shared" si="28"/>
        <v>Sep</v>
      </c>
    </row>
    <row r="1820" spans="1:11">
      <c r="A1820" s="1" t="s">
        <v>1844</v>
      </c>
      <c r="B1820" s="2">
        <v>45796</v>
      </c>
      <c r="C1820" s="1" t="s">
        <v>16</v>
      </c>
      <c r="D1820" s="1" t="s">
        <v>17</v>
      </c>
      <c r="E1820" s="1" t="s">
        <v>23</v>
      </c>
      <c r="F1820" s="1">
        <v>246</v>
      </c>
      <c r="G1820" s="1">
        <v>17.420000000000002</v>
      </c>
      <c r="H1820" s="1">
        <v>4285.32</v>
      </c>
      <c r="I1820" s="1">
        <v>3191.59</v>
      </c>
      <c r="J1820" s="1">
        <v>1093.73</v>
      </c>
      <c r="K1820" s="8" t="str">
        <f t="shared" si="28"/>
        <v>May</v>
      </c>
    </row>
    <row r="1821" spans="1:11">
      <c r="A1821" s="1" t="s">
        <v>1845</v>
      </c>
      <c r="B1821" s="2">
        <v>45957</v>
      </c>
      <c r="C1821" s="1" t="s">
        <v>16</v>
      </c>
      <c r="D1821" s="1" t="s">
        <v>17</v>
      </c>
      <c r="E1821" s="1" t="s">
        <v>33</v>
      </c>
      <c r="F1821" s="1">
        <v>123</v>
      </c>
      <c r="G1821" s="1">
        <v>38.76</v>
      </c>
      <c r="H1821" s="1">
        <v>4767.4799999999996</v>
      </c>
      <c r="I1821" s="1">
        <v>3770.51</v>
      </c>
      <c r="J1821" s="1">
        <v>996.97</v>
      </c>
      <c r="K1821" s="8" t="str">
        <f t="shared" si="28"/>
        <v>Oct</v>
      </c>
    </row>
    <row r="1822" spans="1:11">
      <c r="A1822" s="1" t="s">
        <v>1846</v>
      </c>
      <c r="B1822" s="2">
        <v>45967</v>
      </c>
      <c r="C1822" s="1" t="s">
        <v>16</v>
      </c>
      <c r="D1822" s="1" t="s">
        <v>17</v>
      </c>
      <c r="E1822" s="1" t="s">
        <v>18</v>
      </c>
      <c r="F1822" s="1">
        <v>58</v>
      </c>
      <c r="G1822" s="1">
        <v>26.26</v>
      </c>
      <c r="H1822" s="1">
        <v>1523.08</v>
      </c>
      <c r="I1822" s="1">
        <v>927.09</v>
      </c>
      <c r="J1822" s="1">
        <v>595.99</v>
      </c>
      <c r="K1822" s="8" t="str">
        <f t="shared" si="28"/>
        <v>Nov</v>
      </c>
    </row>
    <row r="1823" spans="1:11">
      <c r="A1823" s="1" t="s">
        <v>1847</v>
      </c>
      <c r="B1823" s="2">
        <v>45733</v>
      </c>
      <c r="C1823" s="1" t="s">
        <v>31</v>
      </c>
      <c r="D1823" s="1" t="s">
        <v>17</v>
      </c>
      <c r="E1823" s="1" t="s">
        <v>23</v>
      </c>
      <c r="F1823" s="1">
        <v>289</v>
      </c>
      <c r="G1823" s="1">
        <v>24.87</v>
      </c>
      <c r="H1823" s="1">
        <v>7187.43</v>
      </c>
      <c r="I1823" s="1">
        <v>5620.01</v>
      </c>
      <c r="J1823" s="1">
        <v>1567.42</v>
      </c>
      <c r="K1823" s="8" t="str">
        <f t="shared" si="28"/>
        <v>Mar</v>
      </c>
    </row>
    <row r="1824" spans="1:11">
      <c r="A1824" s="1" t="s">
        <v>1848</v>
      </c>
      <c r="B1824" s="2">
        <v>45867</v>
      </c>
      <c r="C1824" s="1" t="s">
        <v>12</v>
      </c>
      <c r="D1824" s="1" t="s">
        <v>29</v>
      </c>
      <c r="E1824" s="1" t="s">
        <v>18</v>
      </c>
      <c r="F1824" s="1">
        <v>69</v>
      </c>
      <c r="G1824" s="1">
        <v>13.52</v>
      </c>
      <c r="H1824" s="1">
        <v>932.88</v>
      </c>
      <c r="I1824" s="1">
        <v>667.85</v>
      </c>
      <c r="J1824" s="1">
        <v>265.02999999999997</v>
      </c>
      <c r="K1824" s="8" t="str">
        <f t="shared" si="28"/>
        <v>Jul</v>
      </c>
    </row>
    <row r="1825" spans="1:11">
      <c r="A1825" s="1" t="s">
        <v>1849</v>
      </c>
      <c r="B1825" s="2">
        <v>45792</v>
      </c>
      <c r="C1825" s="1" t="s">
        <v>12</v>
      </c>
      <c r="D1825" s="1" t="s">
        <v>17</v>
      </c>
      <c r="E1825" s="1" t="s">
        <v>26</v>
      </c>
      <c r="F1825" s="1">
        <v>291</v>
      </c>
      <c r="G1825" s="1">
        <v>19.14</v>
      </c>
      <c r="H1825" s="1">
        <v>5569.74</v>
      </c>
      <c r="I1825" s="1">
        <v>4211.8900000000003</v>
      </c>
      <c r="J1825" s="1">
        <v>1357.85</v>
      </c>
      <c r="K1825" s="8" t="str">
        <f t="shared" si="28"/>
        <v>May</v>
      </c>
    </row>
    <row r="1826" spans="1:11">
      <c r="A1826" s="1" t="s">
        <v>1850</v>
      </c>
      <c r="B1826" s="2">
        <v>45872</v>
      </c>
      <c r="C1826" s="1" t="s">
        <v>36</v>
      </c>
      <c r="D1826" s="1" t="s">
        <v>13</v>
      </c>
      <c r="E1826" s="1" t="s">
        <v>23</v>
      </c>
      <c r="F1826" s="1">
        <v>275</v>
      </c>
      <c r="G1826" s="1">
        <v>39.19</v>
      </c>
      <c r="H1826" s="1">
        <v>10777.25</v>
      </c>
      <c r="I1826" s="1">
        <v>7218.9</v>
      </c>
      <c r="J1826" s="1">
        <v>3558.35</v>
      </c>
      <c r="K1826" s="8" t="str">
        <f t="shared" si="28"/>
        <v>Aug</v>
      </c>
    </row>
    <row r="1827" spans="1:11">
      <c r="A1827" s="1" t="s">
        <v>1851</v>
      </c>
      <c r="B1827" s="2">
        <v>45876</v>
      </c>
      <c r="C1827" s="1" t="s">
        <v>12</v>
      </c>
      <c r="D1827" s="1" t="s">
        <v>13</v>
      </c>
      <c r="E1827" s="1" t="s">
        <v>18</v>
      </c>
      <c r="F1827" s="1">
        <v>286</v>
      </c>
      <c r="G1827" s="1">
        <v>22.43</v>
      </c>
      <c r="H1827" s="1">
        <v>6414.98</v>
      </c>
      <c r="I1827" s="1">
        <v>4887.57</v>
      </c>
      <c r="J1827" s="1">
        <v>1527.41</v>
      </c>
      <c r="K1827" s="8" t="str">
        <f t="shared" si="28"/>
        <v>Aug</v>
      </c>
    </row>
    <row r="1828" spans="1:11">
      <c r="A1828" s="1" t="s">
        <v>1852</v>
      </c>
      <c r="B1828" s="2">
        <v>45972</v>
      </c>
      <c r="C1828" s="1" t="s">
        <v>31</v>
      </c>
      <c r="D1828" s="1" t="s">
        <v>13</v>
      </c>
      <c r="E1828" s="1" t="s">
        <v>14</v>
      </c>
      <c r="F1828" s="1">
        <v>107</v>
      </c>
      <c r="G1828" s="1">
        <v>30.48</v>
      </c>
      <c r="H1828" s="1">
        <v>3261.36</v>
      </c>
      <c r="I1828" s="1">
        <v>2076.35</v>
      </c>
      <c r="J1828" s="1">
        <v>1185.01</v>
      </c>
      <c r="K1828" s="8" t="str">
        <f t="shared" si="28"/>
        <v>Nov</v>
      </c>
    </row>
    <row r="1829" spans="1:11">
      <c r="A1829" s="1" t="s">
        <v>1853</v>
      </c>
      <c r="B1829" s="2">
        <v>45924</v>
      </c>
      <c r="C1829" s="1" t="s">
        <v>28</v>
      </c>
      <c r="D1829" s="1" t="s">
        <v>13</v>
      </c>
      <c r="E1829" s="1" t="s">
        <v>18</v>
      </c>
      <c r="F1829" s="1">
        <v>286</v>
      </c>
      <c r="G1829" s="1">
        <v>33.17</v>
      </c>
      <c r="H1829" s="1">
        <v>9486.6200000000008</v>
      </c>
      <c r="I1829" s="1">
        <v>6116.45</v>
      </c>
      <c r="J1829" s="1">
        <v>3370.17</v>
      </c>
      <c r="K1829" s="8" t="str">
        <f t="shared" si="28"/>
        <v>Sep</v>
      </c>
    </row>
    <row r="1830" spans="1:11">
      <c r="A1830" s="1" t="s">
        <v>1854</v>
      </c>
      <c r="B1830" s="2">
        <v>45734</v>
      </c>
      <c r="C1830" s="1" t="s">
        <v>12</v>
      </c>
      <c r="D1830" s="1" t="s">
        <v>13</v>
      </c>
      <c r="E1830" s="1" t="s">
        <v>20</v>
      </c>
      <c r="F1830" s="1">
        <v>136</v>
      </c>
      <c r="G1830" s="1">
        <v>27.83</v>
      </c>
      <c r="H1830" s="1">
        <v>3784.88</v>
      </c>
      <c r="I1830" s="1">
        <v>2783.03</v>
      </c>
      <c r="J1830" s="1">
        <v>1001.85</v>
      </c>
      <c r="K1830" s="8" t="str">
        <f t="shared" si="28"/>
        <v>Mar</v>
      </c>
    </row>
    <row r="1831" spans="1:11">
      <c r="A1831" s="1" t="s">
        <v>1855</v>
      </c>
      <c r="B1831" s="2">
        <v>45681</v>
      </c>
      <c r="C1831" s="1" t="s">
        <v>28</v>
      </c>
      <c r="D1831" s="1" t="s">
        <v>29</v>
      </c>
      <c r="E1831" s="1" t="s">
        <v>18</v>
      </c>
      <c r="F1831" s="1">
        <v>186</v>
      </c>
      <c r="G1831" s="1">
        <v>26.12</v>
      </c>
      <c r="H1831" s="1">
        <v>4858.32</v>
      </c>
      <c r="I1831" s="1">
        <v>3256.51</v>
      </c>
      <c r="J1831" s="1">
        <v>1601.81</v>
      </c>
      <c r="K1831" s="8" t="str">
        <f t="shared" si="28"/>
        <v>Jan</v>
      </c>
    </row>
    <row r="1832" spans="1:11">
      <c r="A1832" s="1" t="s">
        <v>1856</v>
      </c>
      <c r="B1832" s="2">
        <v>45841</v>
      </c>
      <c r="C1832" s="1" t="s">
        <v>31</v>
      </c>
      <c r="D1832" s="1" t="s">
        <v>17</v>
      </c>
      <c r="E1832" s="1" t="s">
        <v>18</v>
      </c>
      <c r="F1832" s="1">
        <v>156</v>
      </c>
      <c r="G1832" s="1">
        <v>27.38</v>
      </c>
      <c r="H1832" s="1">
        <v>4271.28</v>
      </c>
      <c r="I1832" s="1">
        <v>3065.41</v>
      </c>
      <c r="J1832" s="1">
        <v>1205.8699999999999</v>
      </c>
      <c r="K1832" s="8" t="str">
        <f t="shared" si="28"/>
        <v>Jul</v>
      </c>
    </row>
    <row r="1833" spans="1:11">
      <c r="A1833" s="1" t="s">
        <v>1857</v>
      </c>
      <c r="B1833" s="2">
        <v>45788</v>
      </c>
      <c r="C1833" s="1" t="s">
        <v>36</v>
      </c>
      <c r="D1833" s="1" t="s">
        <v>29</v>
      </c>
      <c r="E1833" s="1" t="s">
        <v>26</v>
      </c>
      <c r="F1833" s="1">
        <v>250</v>
      </c>
      <c r="G1833" s="1">
        <v>19.02</v>
      </c>
      <c r="H1833" s="1">
        <v>4755</v>
      </c>
      <c r="I1833" s="1">
        <v>3036.17</v>
      </c>
      <c r="J1833" s="1">
        <v>1718.83</v>
      </c>
      <c r="K1833" s="8" t="str">
        <f t="shared" si="28"/>
        <v>May</v>
      </c>
    </row>
    <row r="1834" spans="1:11">
      <c r="A1834" s="1" t="s">
        <v>1858</v>
      </c>
      <c r="B1834" s="2">
        <v>45844</v>
      </c>
      <c r="C1834" s="1" t="s">
        <v>36</v>
      </c>
      <c r="D1834" s="1" t="s">
        <v>29</v>
      </c>
      <c r="E1834" s="1" t="s">
        <v>26</v>
      </c>
      <c r="F1834" s="1">
        <v>70</v>
      </c>
      <c r="G1834" s="1">
        <v>12.78</v>
      </c>
      <c r="H1834" s="1">
        <v>894.6</v>
      </c>
      <c r="I1834" s="1">
        <v>631.38</v>
      </c>
      <c r="J1834" s="1">
        <v>263.22000000000003</v>
      </c>
      <c r="K1834" s="8" t="str">
        <f t="shared" si="28"/>
        <v>Jul</v>
      </c>
    </row>
    <row r="1835" spans="1:11">
      <c r="A1835" s="1" t="s">
        <v>1859</v>
      </c>
      <c r="B1835" s="2">
        <v>45993</v>
      </c>
      <c r="C1835" s="1" t="s">
        <v>31</v>
      </c>
      <c r="D1835" s="1" t="s">
        <v>29</v>
      </c>
      <c r="E1835" s="1" t="s">
        <v>26</v>
      </c>
      <c r="F1835" s="1">
        <v>10</v>
      </c>
      <c r="G1835" s="1">
        <v>13.39</v>
      </c>
      <c r="H1835" s="1">
        <v>133.9</v>
      </c>
      <c r="I1835" s="1">
        <v>89.34</v>
      </c>
      <c r="J1835" s="1">
        <v>44.56</v>
      </c>
      <c r="K1835" s="8" t="str">
        <f t="shared" si="28"/>
        <v>Dec</v>
      </c>
    </row>
    <row r="1836" spans="1:11">
      <c r="A1836" s="1" t="s">
        <v>1860</v>
      </c>
      <c r="B1836" s="2">
        <v>46022</v>
      </c>
      <c r="C1836" s="1" t="s">
        <v>16</v>
      </c>
      <c r="D1836" s="1" t="s">
        <v>17</v>
      </c>
      <c r="E1836" s="1" t="s">
        <v>18</v>
      </c>
      <c r="F1836" s="1">
        <v>124</v>
      </c>
      <c r="G1836" s="1">
        <v>29.03</v>
      </c>
      <c r="H1836" s="1">
        <v>3599.72</v>
      </c>
      <c r="I1836" s="1">
        <v>2501.77</v>
      </c>
      <c r="J1836" s="1">
        <v>1097.95</v>
      </c>
      <c r="K1836" s="8" t="str">
        <f t="shared" si="28"/>
        <v>Dec</v>
      </c>
    </row>
    <row r="1837" spans="1:11">
      <c r="A1837" s="1" t="s">
        <v>1861</v>
      </c>
      <c r="B1837" s="2">
        <v>45704</v>
      </c>
      <c r="C1837" s="1" t="s">
        <v>28</v>
      </c>
      <c r="D1837" s="1" t="s">
        <v>29</v>
      </c>
      <c r="E1837" s="1" t="s">
        <v>23</v>
      </c>
      <c r="F1837" s="1">
        <v>13</v>
      </c>
      <c r="G1837" s="1">
        <v>11.71</v>
      </c>
      <c r="H1837" s="1">
        <v>152.22999999999999</v>
      </c>
      <c r="I1837" s="1">
        <v>109.66</v>
      </c>
      <c r="J1837" s="1">
        <v>42.57</v>
      </c>
      <c r="K1837" s="8" t="str">
        <f t="shared" si="28"/>
        <v>Feb</v>
      </c>
    </row>
    <row r="1838" spans="1:11">
      <c r="A1838" s="1" t="s">
        <v>1862</v>
      </c>
      <c r="B1838" s="2">
        <v>45849</v>
      </c>
      <c r="C1838" s="1" t="s">
        <v>16</v>
      </c>
      <c r="D1838" s="1" t="s">
        <v>17</v>
      </c>
      <c r="E1838" s="1" t="s">
        <v>20</v>
      </c>
      <c r="F1838" s="1">
        <v>189</v>
      </c>
      <c r="G1838" s="1">
        <v>17.5</v>
      </c>
      <c r="H1838" s="1">
        <v>3307.5</v>
      </c>
      <c r="I1838" s="1">
        <v>2377.23</v>
      </c>
      <c r="J1838" s="1">
        <v>930.27</v>
      </c>
      <c r="K1838" s="8" t="str">
        <f t="shared" si="28"/>
        <v>Jul</v>
      </c>
    </row>
    <row r="1839" spans="1:11">
      <c r="A1839" s="1" t="s">
        <v>1863</v>
      </c>
      <c r="B1839" s="2">
        <v>45973</v>
      </c>
      <c r="C1839" s="1" t="s">
        <v>12</v>
      </c>
      <c r="D1839" s="1" t="s">
        <v>17</v>
      </c>
      <c r="E1839" s="1" t="s">
        <v>18</v>
      </c>
      <c r="F1839" s="1">
        <v>119</v>
      </c>
      <c r="G1839" s="1">
        <v>39.71</v>
      </c>
      <c r="H1839" s="1">
        <v>4725.49</v>
      </c>
      <c r="I1839" s="1">
        <v>3270.04</v>
      </c>
      <c r="J1839" s="1">
        <v>1455.45</v>
      </c>
      <c r="K1839" s="8" t="str">
        <f t="shared" si="28"/>
        <v>Nov</v>
      </c>
    </row>
    <row r="1840" spans="1:11">
      <c r="A1840" s="1" t="s">
        <v>1864</v>
      </c>
      <c r="B1840" s="2">
        <v>45832</v>
      </c>
      <c r="C1840" s="1" t="s">
        <v>12</v>
      </c>
      <c r="D1840" s="1" t="s">
        <v>17</v>
      </c>
      <c r="E1840" s="1" t="s">
        <v>14</v>
      </c>
      <c r="F1840" s="1">
        <v>239</v>
      </c>
      <c r="G1840" s="1">
        <v>18.11</v>
      </c>
      <c r="H1840" s="1">
        <v>4328.29</v>
      </c>
      <c r="I1840" s="1">
        <v>2918.39</v>
      </c>
      <c r="J1840" s="1">
        <v>1409.9</v>
      </c>
      <c r="K1840" s="8" t="str">
        <f t="shared" si="28"/>
        <v>Jun</v>
      </c>
    </row>
    <row r="1841" spans="1:11">
      <c r="A1841" s="1" t="s">
        <v>1865</v>
      </c>
      <c r="B1841" s="2">
        <v>45747</v>
      </c>
      <c r="C1841" s="1" t="s">
        <v>16</v>
      </c>
      <c r="D1841" s="1" t="s">
        <v>29</v>
      </c>
      <c r="E1841" s="1" t="s">
        <v>26</v>
      </c>
      <c r="F1841" s="1">
        <v>47</v>
      </c>
      <c r="G1841" s="1">
        <v>27.11</v>
      </c>
      <c r="H1841" s="1">
        <v>1274.17</v>
      </c>
      <c r="I1841" s="1">
        <v>841.42</v>
      </c>
      <c r="J1841" s="1">
        <v>432.75</v>
      </c>
      <c r="K1841" s="8" t="str">
        <f t="shared" si="28"/>
        <v>Mar</v>
      </c>
    </row>
    <row r="1842" spans="1:11">
      <c r="A1842" s="1" t="s">
        <v>1866</v>
      </c>
      <c r="B1842" s="2">
        <v>45964</v>
      </c>
      <c r="C1842" s="1" t="s">
        <v>31</v>
      </c>
      <c r="D1842" s="1" t="s">
        <v>29</v>
      </c>
      <c r="E1842" s="1" t="s">
        <v>18</v>
      </c>
      <c r="F1842" s="1">
        <v>240</v>
      </c>
      <c r="G1842" s="1">
        <v>38.76</v>
      </c>
      <c r="H1842" s="1">
        <v>9302.4</v>
      </c>
      <c r="I1842" s="1">
        <v>7372.03</v>
      </c>
      <c r="J1842" s="1">
        <v>1930.37</v>
      </c>
      <c r="K1842" s="8" t="str">
        <f t="shared" si="28"/>
        <v>Nov</v>
      </c>
    </row>
    <row r="1843" spans="1:11">
      <c r="A1843" s="1" t="s">
        <v>1867</v>
      </c>
      <c r="B1843" s="2">
        <v>45924</v>
      </c>
      <c r="C1843" s="1" t="s">
        <v>36</v>
      </c>
      <c r="D1843" s="1" t="s">
        <v>17</v>
      </c>
      <c r="E1843" s="1" t="s">
        <v>14</v>
      </c>
      <c r="F1843" s="1">
        <v>198</v>
      </c>
      <c r="G1843" s="1">
        <v>30.28</v>
      </c>
      <c r="H1843" s="1">
        <v>5995.44</v>
      </c>
      <c r="I1843" s="1">
        <v>3947.52</v>
      </c>
      <c r="J1843" s="1">
        <v>2047.92</v>
      </c>
      <c r="K1843" s="8" t="str">
        <f t="shared" si="28"/>
        <v>Sep</v>
      </c>
    </row>
    <row r="1844" spans="1:11">
      <c r="A1844" s="1" t="s">
        <v>1868</v>
      </c>
      <c r="B1844" s="2">
        <v>46020</v>
      </c>
      <c r="C1844" s="1" t="s">
        <v>36</v>
      </c>
      <c r="D1844" s="1" t="s">
        <v>13</v>
      </c>
      <c r="E1844" s="1" t="s">
        <v>23</v>
      </c>
      <c r="F1844" s="1">
        <v>64</v>
      </c>
      <c r="G1844" s="1">
        <v>20.16</v>
      </c>
      <c r="H1844" s="1">
        <v>1290.24</v>
      </c>
      <c r="I1844" s="1">
        <v>800.42</v>
      </c>
      <c r="J1844" s="1">
        <v>489.82</v>
      </c>
      <c r="K1844" s="8" t="str">
        <f t="shared" si="28"/>
        <v>Dec</v>
      </c>
    </row>
    <row r="1845" spans="1:11">
      <c r="A1845" s="1" t="s">
        <v>1869</v>
      </c>
      <c r="B1845" s="2">
        <v>45863</v>
      </c>
      <c r="C1845" s="1" t="s">
        <v>31</v>
      </c>
      <c r="D1845" s="1" t="s">
        <v>29</v>
      </c>
      <c r="E1845" s="1" t="s">
        <v>26</v>
      </c>
      <c r="F1845" s="1">
        <v>171</v>
      </c>
      <c r="G1845" s="1">
        <v>37.94</v>
      </c>
      <c r="H1845" s="1">
        <v>6487.74</v>
      </c>
      <c r="I1845" s="1">
        <v>5075.55</v>
      </c>
      <c r="J1845" s="1">
        <v>1412.19</v>
      </c>
      <c r="K1845" s="8" t="str">
        <f t="shared" si="28"/>
        <v>Jul</v>
      </c>
    </row>
    <row r="1846" spans="1:11">
      <c r="A1846" s="1" t="s">
        <v>1870</v>
      </c>
      <c r="B1846" s="2">
        <v>45662</v>
      </c>
      <c r="C1846" s="1" t="s">
        <v>28</v>
      </c>
      <c r="D1846" s="1" t="s">
        <v>13</v>
      </c>
      <c r="E1846" s="1" t="s">
        <v>20</v>
      </c>
      <c r="F1846" s="1">
        <v>292</v>
      </c>
      <c r="G1846" s="1">
        <v>36.619999999999997</v>
      </c>
      <c r="H1846" s="1">
        <v>10693.04</v>
      </c>
      <c r="I1846" s="1">
        <v>6806.82</v>
      </c>
      <c r="J1846" s="1">
        <v>3886.22</v>
      </c>
      <c r="K1846" s="8" t="str">
        <f t="shared" si="28"/>
        <v>Jan</v>
      </c>
    </row>
    <row r="1847" spans="1:11">
      <c r="A1847" s="1" t="s">
        <v>1871</v>
      </c>
      <c r="B1847" s="2">
        <v>45898</v>
      </c>
      <c r="C1847" s="1" t="s">
        <v>22</v>
      </c>
      <c r="D1847" s="1" t="s">
        <v>17</v>
      </c>
      <c r="E1847" s="1" t="s">
        <v>18</v>
      </c>
      <c r="F1847" s="1">
        <v>176</v>
      </c>
      <c r="G1847" s="1">
        <v>28.57</v>
      </c>
      <c r="H1847" s="1">
        <v>5028.32</v>
      </c>
      <c r="I1847" s="1">
        <v>3559.99</v>
      </c>
      <c r="J1847" s="1">
        <v>1468.33</v>
      </c>
      <c r="K1847" s="8" t="str">
        <f t="shared" si="28"/>
        <v>Aug</v>
      </c>
    </row>
    <row r="1848" spans="1:11">
      <c r="A1848" s="1" t="s">
        <v>1872</v>
      </c>
      <c r="B1848" s="2">
        <v>45741</v>
      </c>
      <c r="C1848" s="1" t="s">
        <v>31</v>
      </c>
      <c r="D1848" s="1" t="s">
        <v>13</v>
      </c>
      <c r="E1848" s="1" t="s">
        <v>23</v>
      </c>
      <c r="F1848" s="1">
        <v>31</v>
      </c>
      <c r="G1848" s="1">
        <v>37.96</v>
      </c>
      <c r="H1848" s="1">
        <v>1176.76</v>
      </c>
      <c r="I1848" s="1">
        <v>934.73</v>
      </c>
      <c r="J1848" s="1">
        <v>242.03</v>
      </c>
      <c r="K1848" s="8" t="str">
        <f t="shared" si="28"/>
        <v>Mar</v>
      </c>
    </row>
    <row r="1849" spans="1:11">
      <c r="A1849" s="1" t="s">
        <v>1873</v>
      </c>
      <c r="B1849" s="2">
        <v>45771</v>
      </c>
      <c r="C1849" s="1" t="s">
        <v>36</v>
      </c>
      <c r="D1849" s="1" t="s">
        <v>13</v>
      </c>
      <c r="E1849" s="1" t="s">
        <v>14</v>
      </c>
      <c r="F1849" s="1">
        <v>221</v>
      </c>
      <c r="G1849" s="1">
        <v>32.71</v>
      </c>
      <c r="H1849" s="1">
        <v>7228.91</v>
      </c>
      <c r="I1849" s="1">
        <v>4458.9799999999996</v>
      </c>
      <c r="J1849" s="1">
        <v>2769.93</v>
      </c>
      <c r="K1849" s="8" t="str">
        <f t="shared" si="28"/>
        <v>Apr</v>
      </c>
    </row>
    <row r="1850" spans="1:11">
      <c r="A1850" s="1" t="s">
        <v>1874</v>
      </c>
      <c r="B1850" s="2">
        <v>45888</v>
      </c>
      <c r="C1850" s="1" t="s">
        <v>31</v>
      </c>
      <c r="D1850" s="1" t="s">
        <v>13</v>
      </c>
      <c r="E1850" s="1" t="s">
        <v>18</v>
      </c>
      <c r="F1850" s="1">
        <v>288</v>
      </c>
      <c r="G1850" s="1">
        <v>15.73</v>
      </c>
      <c r="H1850" s="1">
        <v>4530.24</v>
      </c>
      <c r="I1850" s="1">
        <v>3501.48</v>
      </c>
      <c r="J1850" s="1">
        <v>1028.76</v>
      </c>
      <c r="K1850" s="8" t="str">
        <f t="shared" si="28"/>
        <v>Aug</v>
      </c>
    </row>
    <row r="1851" spans="1:11">
      <c r="A1851" s="1" t="s">
        <v>1875</v>
      </c>
      <c r="B1851" s="2">
        <v>46016</v>
      </c>
      <c r="C1851" s="1" t="s">
        <v>31</v>
      </c>
      <c r="D1851" s="1" t="s">
        <v>17</v>
      </c>
      <c r="E1851" s="1" t="s">
        <v>23</v>
      </c>
      <c r="F1851" s="1">
        <v>59</v>
      </c>
      <c r="G1851" s="1">
        <v>33.19</v>
      </c>
      <c r="H1851" s="1">
        <v>1958.21</v>
      </c>
      <c r="I1851" s="1">
        <v>1258.06</v>
      </c>
      <c r="J1851" s="1">
        <v>700.15</v>
      </c>
      <c r="K1851" s="8" t="str">
        <f t="shared" si="28"/>
        <v>Dec</v>
      </c>
    </row>
    <row r="1852" spans="1:11">
      <c r="A1852" s="1" t="s">
        <v>1876</v>
      </c>
      <c r="B1852" s="2">
        <v>45968</v>
      </c>
      <c r="C1852" s="1" t="s">
        <v>12</v>
      </c>
      <c r="D1852" s="1" t="s">
        <v>17</v>
      </c>
      <c r="E1852" s="1" t="s">
        <v>14</v>
      </c>
      <c r="F1852" s="1">
        <v>203</v>
      </c>
      <c r="G1852" s="1">
        <v>38.57</v>
      </c>
      <c r="H1852" s="1">
        <v>7829.71</v>
      </c>
      <c r="I1852" s="1">
        <v>6220.48</v>
      </c>
      <c r="J1852" s="1">
        <v>1609.23</v>
      </c>
      <c r="K1852" s="8" t="str">
        <f t="shared" si="28"/>
        <v>Nov</v>
      </c>
    </row>
    <row r="1853" spans="1:11">
      <c r="A1853" s="1" t="s">
        <v>1877</v>
      </c>
      <c r="B1853" s="2">
        <v>45990</v>
      </c>
      <c r="C1853" s="1" t="s">
        <v>36</v>
      </c>
      <c r="D1853" s="1" t="s">
        <v>13</v>
      </c>
      <c r="E1853" s="1" t="s">
        <v>18</v>
      </c>
      <c r="F1853" s="1">
        <v>173</v>
      </c>
      <c r="G1853" s="1">
        <v>31.91</v>
      </c>
      <c r="H1853" s="1">
        <v>5520.43</v>
      </c>
      <c r="I1853" s="1">
        <v>4063.3</v>
      </c>
      <c r="J1853" s="1">
        <v>1457.13</v>
      </c>
      <c r="K1853" s="8" t="str">
        <f t="shared" si="28"/>
        <v>Nov</v>
      </c>
    </row>
    <row r="1854" spans="1:11">
      <c r="A1854" s="1" t="s">
        <v>1878</v>
      </c>
      <c r="B1854" s="2">
        <v>45694</v>
      </c>
      <c r="C1854" s="1" t="s">
        <v>16</v>
      </c>
      <c r="D1854" s="1" t="s">
        <v>13</v>
      </c>
      <c r="E1854" s="1" t="s">
        <v>23</v>
      </c>
      <c r="F1854" s="1">
        <v>226</v>
      </c>
      <c r="G1854" s="1">
        <v>20.55</v>
      </c>
      <c r="H1854" s="1">
        <v>4644.3</v>
      </c>
      <c r="I1854" s="1">
        <v>3002.61</v>
      </c>
      <c r="J1854" s="1">
        <v>1641.69</v>
      </c>
      <c r="K1854" s="8" t="str">
        <f t="shared" si="28"/>
        <v>Feb</v>
      </c>
    </row>
    <row r="1855" spans="1:11">
      <c r="A1855" s="1" t="s">
        <v>1879</v>
      </c>
      <c r="B1855" s="2">
        <v>45678</v>
      </c>
      <c r="C1855" s="1" t="s">
        <v>16</v>
      </c>
      <c r="D1855" s="1" t="s">
        <v>17</v>
      </c>
      <c r="E1855" s="1" t="s">
        <v>23</v>
      </c>
      <c r="F1855" s="1">
        <v>97</v>
      </c>
      <c r="G1855" s="1">
        <v>19.87</v>
      </c>
      <c r="H1855" s="1">
        <v>1927.39</v>
      </c>
      <c r="I1855" s="1">
        <v>1263.46</v>
      </c>
      <c r="J1855" s="1">
        <v>663.93</v>
      </c>
      <c r="K1855" s="8" t="str">
        <f t="shared" si="28"/>
        <v>Jan</v>
      </c>
    </row>
    <row r="1856" spans="1:11">
      <c r="A1856" s="1" t="s">
        <v>1880</v>
      </c>
      <c r="B1856" s="2">
        <v>45871</v>
      </c>
      <c r="C1856" s="1" t="s">
        <v>28</v>
      </c>
      <c r="D1856" s="1" t="s">
        <v>13</v>
      </c>
      <c r="E1856" s="1" t="s">
        <v>23</v>
      </c>
      <c r="F1856" s="1">
        <v>265</v>
      </c>
      <c r="G1856" s="1">
        <v>25.79</v>
      </c>
      <c r="H1856" s="1">
        <v>6834.35</v>
      </c>
      <c r="I1856" s="1">
        <v>4851.2299999999996</v>
      </c>
      <c r="J1856" s="1">
        <v>1983.12</v>
      </c>
      <c r="K1856" s="8" t="str">
        <f t="shared" si="28"/>
        <v>Aug</v>
      </c>
    </row>
    <row r="1857" spans="1:11">
      <c r="A1857" s="1" t="s">
        <v>1881</v>
      </c>
      <c r="B1857" s="2">
        <v>45904</v>
      </c>
      <c r="C1857" s="1" t="s">
        <v>16</v>
      </c>
      <c r="D1857" s="1" t="s">
        <v>13</v>
      </c>
      <c r="E1857" s="1" t="s">
        <v>33</v>
      </c>
      <c r="F1857" s="1">
        <v>277</v>
      </c>
      <c r="G1857" s="1">
        <v>29.55</v>
      </c>
      <c r="H1857" s="1">
        <v>8185.35</v>
      </c>
      <c r="I1857" s="1">
        <v>5903.56</v>
      </c>
      <c r="J1857" s="1">
        <v>2281.79</v>
      </c>
      <c r="K1857" s="8" t="str">
        <f t="shared" si="28"/>
        <v>Sep</v>
      </c>
    </row>
    <row r="1858" spans="1:11">
      <c r="A1858" s="1" t="s">
        <v>1882</v>
      </c>
      <c r="B1858" s="2">
        <v>45767</v>
      </c>
      <c r="C1858" s="1" t="s">
        <v>16</v>
      </c>
      <c r="D1858" s="1" t="s">
        <v>29</v>
      </c>
      <c r="E1858" s="1" t="s">
        <v>18</v>
      </c>
      <c r="F1858" s="1">
        <v>77</v>
      </c>
      <c r="G1858" s="1">
        <v>12.68</v>
      </c>
      <c r="H1858" s="1">
        <v>976.36</v>
      </c>
      <c r="I1858" s="1">
        <v>641.37</v>
      </c>
      <c r="J1858" s="1">
        <v>334.99</v>
      </c>
      <c r="K1858" s="8" t="str">
        <f t="shared" ref="K1858:K1921" si="29">TEXT(B1858,"mmm")</f>
        <v>Apr</v>
      </c>
    </row>
    <row r="1859" spans="1:11">
      <c r="A1859" s="1" t="s">
        <v>1883</v>
      </c>
      <c r="B1859" s="2">
        <v>45702</v>
      </c>
      <c r="C1859" s="1" t="s">
        <v>31</v>
      </c>
      <c r="D1859" s="1" t="s">
        <v>29</v>
      </c>
      <c r="E1859" s="1" t="s">
        <v>26</v>
      </c>
      <c r="F1859" s="1">
        <v>68</v>
      </c>
      <c r="G1859" s="1">
        <v>17.239999999999998</v>
      </c>
      <c r="H1859" s="1">
        <v>1172.32</v>
      </c>
      <c r="I1859" s="1">
        <v>821.23</v>
      </c>
      <c r="J1859" s="1">
        <v>351.09</v>
      </c>
      <c r="K1859" s="8" t="str">
        <f t="shared" si="29"/>
        <v>Feb</v>
      </c>
    </row>
    <row r="1860" spans="1:11">
      <c r="A1860" s="1" t="s">
        <v>1884</v>
      </c>
      <c r="B1860" s="2">
        <v>45878</v>
      </c>
      <c r="C1860" s="1" t="s">
        <v>12</v>
      </c>
      <c r="D1860" s="1" t="s">
        <v>17</v>
      </c>
      <c r="E1860" s="1" t="s">
        <v>20</v>
      </c>
      <c r="F1860" s="1">
        <v>166</v>
      </c>
      <c r="G1860" s="1">
        <v>30.39</v>
      </c>
      <c r="H1860" s="1">
        <v>5044.74</v>
      </c>
      <c r="I1860" s="1">
        <v>3148.79</v>
      </c>
      <c r="J1860" s="1">
        <v>1895.95</v>
      </c>
      <c r="K1860" s="8" t="str">
        <f t="shared" si="29"/>
        <v>Aug</v>
      </c>
    </row>
    <row r="1861" spans="1:11">
      <c r="A1861" s="1" t="s">
        <v>1885</v>
      </c>
      <c r="B1861" s="2">
        <v>45856</v>
      </c>
      <c r="C1861" s="1" t="s">
        <v>36</v>
      </c>
      <c r="D1861" s="1" t="s">
        <v>17</v>
      </c>
      <c r="E1861" s="1" t="s">
        <v>26</v>
      </c>
      <c r="F1861" s="1">
        <v>199</v>
      </c>
      <c r="G1861" s="1">
        <v>37.08</v>
      </c>
      <c r="H1861" s="1">
        <v>7378.92</v>
      </c>
      <c r="I1861" s="1">
        <v>4965.34</v>
      </c>
      <c r="J1861" s="1">
        <v>2413.58</v>
      </c>
      <c r="K1861" s="8" t="str">
        <f t="shared" si="29"/>
        <v>Jul</v>
      </c>
    </row>
    <row r="1862" spans="1:11">
      <c r="A1862" s="1" t="s">
        <v>1886</v>
      </c>
      <c r="B1862" s="2">
        <v>45786</v>
      </c>
      <c r="C1862" s="1" t="s">
        <v>28</v>
      </c>
      <c r="D1862" s="1" t="s">
        <v>17</v>
      </c>
      <c r="E1862" s="1" t="s">
        <v>33</v>
      </c>
      <c r="F1862" s="1">
        <v>207</v>
      </c>
      <c r="G1862" s="1">
        <v>11.53</v>
      </c>
      <c r="H1862" s="1">
        <v>2386.71</v>
      </c>
      <c r="I1862" s="1">
        <v>1628.02</v>
      </c>
      <c r="J1862" s="1">
        <v>758.69</v>
      </c>
      <c r="K1862" s="8" t="str">
        <f t="shared" si="29"/>
        <v>May</v>
      </c>
    </row>
    <row r="1863" spans="1:11">
      <c r="A1863" s="1" t="s">
        <v>1887</v>
      </c>
      <c r="B1863" s="2">
        <v>46014</v>
      </c>
      <c r="C1863" s="1" t="s">
        <v>16</v>
      </c>
      <c r="D1863" s="1" t="s">
        <v>13</v>
      </c>
      <c r="E1863" s="1" t="s">
        <v>20</v>
      </c>
      <c r="F1863" s="1">
        <v>137</v>
      </c>
      <c r="G1863" s="1">
        <v>39.229999999999997</v>
      </c>
      <c r="H1863" s="1">
        <v>5374.51</v>
      </c>
      <c r="I1863" s="1">
        <v>3567.27</v>
      </c>
      <c r="J1863" s="1">
        <v>1807.24</v>
      </c>
      <c r="K1863" s="8" t="str">
        <f t="shared" si="29"/>
        <v>Dec</v>
      </c>
    </row>
    <row r="1864" spans="1:11">
      <c r="A1864" s="1" t="s">
        <v>1888</v>
      </c>
      <c r="B1864" s="2">
        <v>45825</v>
      </c>
      <c r="C1864" s="1" t="s">
        <v>22</v>
      </c>
      <c r="D1864" s="1" t="s">
        <v>13</v>
      </c>
      <c r="E1864" s="1" t="s">
        <v>26</v>
      </c>
      <c r="F1864" s="1">
        <v>12</v>
      </c>
      <c r="G1864" s="1">
        <v>25.85</v>
      </c>
      <c r="H1864" s="1">
        <v>310.2</v>
      </c>
      <c r="I1864" s="1">
        <v>224.76</v>
      </c>
      <c r="J1864" s="1">
        <v>85.44</v>
      </c>
      <c r="K1864" s="8" t="str">
        <f t="shared" si="29"/>
        <v>Jun</v>
      </c>
    </row>
    <row r="1865" spans="1:11">
      <c r="A1865" s="1" t="s">
        <v>1889</v>
      </c>
      <c r="B1865" s="2">
        <v>45785</v>
      </c>
      <c r="C1865" s="1" t="s">
        <v>28</v>
      </c>
      <c r="D1865" s="1" t="s">
        <v>17</v>
      </c>
      <c r="E1865" s="1" t="s">
        <v>23</v>
      </c>
      <c r="F1865" s="1">
        <v>147</v>
      </c>
      <c r="G1865" s="1">
        <v>20.34</v>
      </c>
      <c r="H1865" s="1">
        <v>2989.98</v>
      </c>
      <c r="I1865" s="1">
        <v>2274.83</v>
      </c>
      <c r="J1865" s="1">
        <v>715.15</v>
      </c>
      <c r="K1865" s="8" t="str">
        <f t="shared" si="29"/>
        <v>May</v>
      </c>
    </row>
    <row r="1866" spans="1:11">
      <c r="A1866" s="1" t="s">
        <v>1890</v>
      </c>
      <c r="B1866" s="2">
        <v>45694</v>
      </c>
      <c r="C1866" s="1" t="s">
        <v>12</v>
      </c>
      <c r="D1866" s="1" t="s">
        <v>29</v>
      </c>
      <c r="E1866" s="1" t="s">
        <v>26</v>
      </c>
      <c r="F1866" s="1">
        <v>94</v>
      </c>
      <c r="G1866" s="1">
        <v>11.69</v>
      </c>
      <c r="H1866" s="1">
        <v>1098.8599999999999</v>
      </c>
      <c r="I1866" s="1">
        <v>707.08</v>
      </c>
      <c r="J1866" s="1">
        <v>391.78</v>
      </c>
      <c r="K1866" s="8" t="str">
        <f t="shared" si="29"/>
        <v>Feb</v>
      </c>
    </row>
    <row r="1867" spans="1:11">
      <c r="A1867" s="1" t="s">
        <v>1891</v>
      </c>
      <c r="B1867" s="2">
        <v>45915</v>
      </c>
      <c r="C1867" s="1" t="s">
        <v>12</v>
      </c>
      <c r="D1867" s="1" t="s">
        <v>29</v>
      </c>
      <c r="E1867" s="1" t="s">
        <v>14</v>
      </c>
      <c r="F1867" s="1">
        <v>11</v>
      </c>
      <c r="G1867" s="1">
        <v>18.559999999999999</v>
      </c>
      <c r="H1867" s="1">
        <v>204.16</v>
      </c>
      <c r="I1867" s="1">
        <v>123.5</v>
      </c>
      <c r="J1867" s="1">
        <v>80.66</v>
      </c>
      <c r="K1867" s="8" t="str">
        <f t="shared" si="29"/>
        <v>Sep</v>
      </c>
    </row>
    <row r="1868" spans="1:11">
      <c r="A1868" s="1" t="s">
        <v>1892</v>
      </c>
      <c r="B1868" s="2">
        <v>46005</v>
      </c>
      <c r="C1868" s="1" t="s">
        <v>36</v>
      </c>
      <c r="D1868" s="1" t="s">
        <v>17</v>
      </c>
      <c r="E1868" s="1" t="s">
        <v>18</v>
      </c>
      <c r="F1868" s="1">
        <v>258</v>
      </c>
      <c r="G1868" s="1">
        <v>23.02</v>
      </c>
      <c r="H1868" s="1">
        <v>5939.16</v>
      </c>
      <c r="I1868" s="1">
        <v>3965.04</v>
      </c>
      <c r="J1868" s="1">
        <v>1974.12</v>
      </c>
      <c r="K1868" s="8" t="str">
        <f t="shared" si="29"/>
        <v>Dec</v>
      </c>
    </row>
    <row r="1869" spans="1:11">
      <c r="A1869" s="1" t="s">
        <v>1893</v>
      </c>
      <c r="B1869" s="2">
        <v>45983</v>
      </c>
      <c r="C1869" s="1" t="s">
        <v>36</v>
      </c>
      <c r="D1869" s="1" t="s">
        <v>17</v>
      </c>
      <c r="E1869" s="1" t="s">
        <v>18</v>
      </c>
      <c r="F1869" s="1">
        <v>292</v>
      </c>
      <c r="G1869" s="1">
        <v>25.87</v>
      </c>
      <c r="H1869" s="1">
        <v>7554.04</v>
      </c>
      <c r="I1869" s="1">
        <v>5417.1</v>
      </c>
      <c r="J1869" s="1">
        <v>2136.94</v>
      </c>
      <c r="K1869" s="8" t="str">
        <f t="shared" si="29"/>
        <v>Nov</v>
      </c>
    </row>
    <row r="1870" spans="1:11">
      <c r="A1870" s="1" t="s">
        <v>1894</v>
      </c>
      <c r="B1870" s="2">
        <v>45910</v>
      </c>
      <c r="C1870" s="1" t="s">
        <v>28</v>
      </c>
      <c r="D1870" s="1" t="s">
        <v>29</v>
      </c>
      <c r="E1870" s="1" t="s">
        <v>20</v>
      </c>
      <c r="F1870" s="1">
        <v>130</v>
      </c>
      <c r="G1870" s="1">
        <v>39.96</v>
      </c>
      <c r="H1870" s="1">
        <v>5194.8</v>
      </c>
      <c r="I1870" s="1">
        <v>3434.03</v>
      </c>
      <c r="J1870" s="1">
        <v>1760.77</v>
      </c>
      <c r="K1870" s="8" t="str">
        <f t="shared" si="29"/>
        <v>Sep</v>
      </c>
    </row>
    <row r="1871" spans="1:11">
      <c r="A1871" s="1" t="s">
        <v>1895</v>
      </c>
      <c r="B1871" s="2">
        <v>45941</v>
      </c>
      <c r="C1871" s="1" t="s">
        <v>28</v>
      </c>
      <c r="D1871" s="1" t="s">
        <v>13</v>
      </c>
      <c r="E1871" s="1" t="s">
        <v>18</v>
      </c>
      <c r="F1871" s="1">
        <v>165</v>
      </c>
      <c r="G1871" s="1">
        <v>18.89</v>
      </c>
      <c r="H1871" s="1">
        <v>3116.85</v>
      </c>
      <c r="I1871" s="1">
        <v>2272.33</v>
      </c>
      <c r="J1871" s="1">
        <v>844.52</v>
      </c>
      <c r="K1871" s="8" t="str">
        <f t="shared" si="29"/>
        <v>Oct</v>
      </c>
    </row>
    <row r="1872" spans="1:11">
      <c r="A1872" s="1" t="s">
        <v>1896</v>
      </c>
      <c r="B1872" s="2">
        <v>45722</v>
      </c>
      <c r="C1872" s="1" t="s">
        <v>16</v>
      </c>
      <c r="D1872" s="1" t="s">
        <v>13</v>
      </c>
      <c r="E1872" s="1" t="s">
        <v>33</v>
      </c>
      <c r="F1872" s="1">
        <v>141</v>
      </c>
      <c r="G1872" s="1">
        <v>33.729999999999997</v>
      </c>
      <c r="H1872" s="1">
        <v>4755.93</v>
      </c>
      <c r="I1872" s="1">
        <v>3387.75</v>
      </c>
      <c r="J1872" s="1">
        <v>1368.18</v>
      </c>
      <c r="K1872" s="8" t="str">
        <f t="shared" si="29"/>
        <v>Mar</v>
      </c>
    </row>
    <row r="1873" spans="1:11">
      <c r="A1873" s="1" t="s">
        <v>1897</v>
      </c>
      <c r="B1873" s="2">
        <v>46021</v>
      </c>
      <c r="C1873" s="1" t="s">
        <v>22</v>
      </c>
      <c r="D1873" s="1" t="s">
        <v>17</v>
      </c>
      <c r="E1873" s="1" t="s">
        <v>26</v>
      </c>
      <c r="F1873" s="1">
        <v>109</v>
      </c>
      <c r="G1873" s="1">
        <v>32.950000000000003</v>
      </c>
      <c r="H1873" s="1">
        <v>3591.55</v>
      </c>
      <c r="I1873" s="1">
        <v>2196.1</v>
      </c>
      <c r="J1873" s="1">
        <v>1395.45</v>
      </c>
      <c r="K1873" s="8" t="str">
        <f t="shared" si="29"/>
        <v>Dec</v>
      </c>
    </row>
    <row r="1874" spans="1:11">
      <c r="A1874" s="1" t="s">
        <v>1898</v>
      </c>
      <c r="B1874" s="2">
        <v>46003</v>
      </c>
      <c r="C1874" s="1" t="s">
        <v>12</v>
      </c>
      <c r="D1874" s="1" t="s">
        <v>13</v>
      </c>
      <c r="E1874" s="1" t="s">
        <v>20</v>
      </c>
      <c r="F1874" s="1">
        <v>267</v>
      </c>
      <c r="G1874" s="1">
        <v>22.35</v>
      </c>
      <c r="H1874" s="1">
        <v>5967.45</v>
      </c>
      <c r="I1874" s="1">
        <v>4283.32</v>
      </c>
      <c r="J1874" s="1">
        <v>1684.13</v>
      </c>
      <c r="K1874" s="8" t="str">
        <f t="shared" si="29"/>
        <v>Dec</v>
      </c>
    </row>
    <row r="1875" spans="1:11">
      <c r="A1875" s="1" t="s">
        <v>1899</v>
      </c>
      <c r="B1875" s="2">
        <v>45685</v>
      </c>
      <c r="C1875" s="1" t="s">
        <v>12</v>
      </c>
      <c r="D1875" s="1" t="s">
        <v>17</v>
      </c>
      <c r="E1875" s="1" t="s">
        <v>33</v>
      </c>
      <c r="F1875" s="1">
        <v>269</v>
      </c>
      <c r="G1875" s="1">
        <v>26.95</v>
      </c>
      <c r="H1875" s="1">
        <v>7249.55</v>
      </c>
      <c r="I1875" s="1">
        <v>4861.42</v>
      </c>
      <c r="J1875" s="1">
        <v>2388.13</v>
      </c>
      <c r="K1875" s="8" t="str">
        <f t="shared" si="29"/>
        <v>Jan</v>
      </c>
    </row>
    <row r="1876" spans="1:11">
      <c r="A1876" s="1" t="s">
        <v>1900</v>
      </c>
      <c r="B1876" s="2">
        <v>45790</v>
      </c>
      <c r="C1876" s="1" t="s">
        <v>12</v>
      </c>
      <c r="D1876" s="1" t="s">
        <v>17</v>
      </c>
      <c r="E1876" s="1" t="s">
        <v>14</v>
      </c>
      <c r="F1876" s="1">
        <v>183</v>
      </c>
      <c r="G1876" s="1">
        <v>13.96</v>
      </c>
      <c r="H1876" s="1">
        <v>2554.6799999999998</v>
      </c>
      <c r="I1876" s="1">
        <v>1862.96</v>
      </c>
      <c r="J1876" s="1">
        <v>691.72</v>
      </c>
      <c r="K1876" s="8" t="str">
        <f t="shared" si="29"/>
        <v>May</v>
      </c>
    </row>
    <row r="1877" spans="1:11">
      <c r="A1877" s="1" t="s">
        <v>1901</v>
      </c>
      <c r="B1877" s="2">
        <v>45701</v>
      </c>
      <c r="C1877" s="1" t="s">
        <v>16</v>
      </c>
      <c r="D1877" s="1" t="s">
        <v>17</v>
      </c>
      <c r="E1877" s="1" t="s">
        <v>20</v>
      </c>
      <c r="F1877" s="1">
        <v>179</v>
      </c>
      <c r="G1877" s="1">
        <v>18.309999999999999</v>
      </c>
      <c r="H1877" s="1">
        <v>3277.49</v>
      </c>
      <c r="I1877" s="1">
        <v>2430.0700000000002</v>
      </c>
      <c r="J1877" s="1">
        <v>847.42</v>
      </c>
      <c r="K1877" s="8" t="str">
        <f t="shared" si="29"/>
        <v>Feb</v>
      </c>
    </row>
    <row r="1878" spans="1:11">
      <c r="A1878" s="1" t="s">
        <v>1902</v>
      </c>
      <c r="B1878" s="2">
        <v>45792</v>
      </c>
      <c r="C1878" s="1" t="s">
        <v>28</v>
      </c>
      <c r="D1878" s="1" t="s">
        <v>29</v>
      </c>
      <c r="E1878" s="1" t="s">
        <v>33</v>
      </c>
      <c r="F1878" s="1">
        <v>209</v>
      </c>
      <c r="G1878" s="1">
        <v>15</v>
      </c>
      <c r="H1878" s="1">
        <v>3135</v>
      </c>
      <c r="I1878" s="1">
        <v>1930.43</v>
      </c>
      <c r="J1878" s="1">
        <v>1204.57</v>
      </c>
      <c r="K1878" s="8" t="str">
        <f t="shared" si="29"/>
        <v>May</v>
      </c>
    </row>
    <row r="1879" spans="1:11">
      <c r="A1879" s="1" t="s">
        <v>1903</v>
      </c>
      <c r="B1879" s="2">
        <v>45775</v>
      </c>
      <c r="C1879" s="1" t="s">
        <v>28</v>
      </c>
      <c r="D1879" s="1" t="s">
        <v>17</v>
      </c>
      <c r="E1879" s="1" t="s">
        <v>26</v>
      </c>
      <c r="F1879" s="1">
        <v>54</v>
      </c>
      <c r="G1879" s="1">
        <v>22.08</v>
      </c>
      <c r="H1879" s="1">
        <v>1192.32</v>
      </c>
      <c r="I1879" s="1">
        <v>909.95</v>
      </c>
      <c r="J1879" s="1">
        <v>282.37</v>
      </c>
      <c r="K1879" s="8" t="str">
        <f t="shared" si="29"/>
        <v>Apr</v>
      </c>
    </row>
    <row r="1880" spans="1:11">
      <c r="A1880" s="1" t="s">
        <v>1904</v>
      </c>
      <c r="B1880" s="2">
        <v>45679</v>
      </c>
      <c r="C1880" s="1" t="s">
        <v>16</v>
      </c>
      <c r="D1880" s="1" t="s">
        <v>13</v>
      </c>
      <c r="E1880" s="1" t="s">
        <v>23</v>
      </c>
      <c r="F1880" s="1">
        <v>94</v>
      </c>
      <c r="G1880" s="1">
        <v>25.93</v>
      </c>
      <c r="H1880" s="1">
        <v>2437.42</v>
      </c>
      <c r="I1880" s="1">
        <v>1591.12</v>
      </c>
      <c r="J1880" s="1">
        <v>846.3</v>
      </c>
      <c r="K1880" s="8" t="str">
        <f t="shared" si="29"/>
        <v>Jan</v>
      </c>
    </row>
    <row r="1881" spans="1:11">
      <c r="A1881" s="1" t="s">
        <v>1905</v>
      </c>
      <c r="B1881" s="2">
        <v>45990</v>
      </c>
      <c r="C1881" s="1" t="s">
        <v>16</v>
      </c>
      <c r="D1881" s="1" t="s">
        <v>13</v>
      </c>
      <c r="E1881" s="1" t="s">
        <v>14</v>
      </c>
      <c r="F1881" s="1">
        <v>284</v>
      </c>
      <c r="G1881" s="1">
        <v>36.21</v>
      </c>
      <c r="H1881" s="1">
        <v>10283.64</v>
      </c>
      <c r="I1881" s="1">
        <v>7538.17</v>
      </c>
      <c r="J1881" s="1">
        <v>2745.47</v>
      </c>
      <c r="K1881" s="8" t="str">
        <f t="shared" si="29"/>
        <v>Nov</v>
      </c>
    </row>
    <row r="1882" spans="1:11">
      <c r="A1882" s="1" t="s">
        <v>1906</v>
      </c>
      <c r="B1882" s="2">
        <v>45778</v>
      </c>
      <c r="C1882" s="1" t="s">
        <v>22</v>
      </c>
      <c r="D1882" s="1" t="s">
        <v>17</v>
      </c>
      <c r="E1882" s="1" t="s">
        <v>33</v>
      </c>
      <c r="F1882" s="1">
        <v>223</v>
      </c>
      <c r="G1882" s="1">
        <v>28.57</v>
      </c>
      <c r="H1882" s="1">
        <v>6371.11</v>
      </c>
      <c r="I1882" s="1">
        <v>4273.83</v>
      </c>
      <c r="J1882" s="1">
        <v>2097.2800000000002</v>
      </c>
      <c r="K1882" s="8" t="str">
        <f t="shared" si="29"/>
        <v>May</v>
      </c>
    </row>
    <row r="1883" spans="1:11">
      <c r="A1883" s="1" t="s">
        <v>1907</v>
      </c>
      <c r="B1883" s="2">
        <v>45988</v>
      </c>
      <c r="C1883" s="1" t="s">
        <v>22</v>
      </c>
      <c r="D1883" s="1" t="s">
        <v>13</v>
      </c>
      <c r="E1883" s="1" t="s">
        <v>33</v>
      </c>
      <c r="F1883" s="1">
        <v>163</v>
      </c>
      <c r="G1883" s="1">
        <v>17.61</v>
      </c>
      <c r="H1883" s="1">
        <v>2870.43</v>
      </c>
      <c r="I1883" s="1">
        <v>2119.4899999999998</v>
      </c>
      <c r="J1883" s="1">
        <v>750.94</v>
      </c>
      <c r="K1883" s="8" t="str">
        <f t="shared" si="29"/>
        <v>Nov</v>
      </c>
    </row>
    <row r="1884" spans="1:11">
      <c r="A1884" s="1" t="s">
        <v>1908</v>
      </c>
      <c r="B1884" s="2">
        <v>45720</v>
      </c>
      <c r="C1884" s="1" t="s">
        <v>16</v>
      </c>
      <c r="D1884" s="1" t="s">
        <v>17</v>
      </c>
      <c r="E1884" s="1" t="s">
        <v>18</v>
      </c>
      <c r="F1884" s="1">
        <v>129</v>
      </c>
      <c r="G1884" s="1">
        <v>31.61</v>
      </c>
      <c r="H1884" s="1">
        <v>4077.69</v>
      </c>
      <c r="I1884" s="1">
        <v>3076.86</v>
      </c>
      <c r="J1884" s="1">
        <v>1000.83</v>
      </c>
      <c r="K1884" s="8" t="str">
        <f t="shared" si="29"/>
        <v>Mar</v>
      </c>
    </row>
    <row r="1885" spans="1:11">
      <c r="A1885" s="1" t="s">
        <v>1909</v>
      </c>
      <c r="B1885" s="2">
        <v>45917</v>
      </c>
      <c r="C1885" s="1" t="s">
        <v>28</v>
      </c>
      <c r="D1885" s="1" t="s">
        <v>29</v>
      </c>
      <c r="E1885" s="1" t="s">
        <v>23</v>
      </c>
      <c r="F1885" s="1">
        <v>112</v>
      </c>
      <c r="G1885" s="1">
        <v>19.64</v>
      </c>
      <c r="H1885" s="1">
        <v>2199.6799999999998</v>
      </c>
      <c r="I1885" s="1">
        <v>1474.35</v>
      </c>
      <c r="J1885" s="1">
        <v>725.33</v>
      </c>
      <c r="K1885" s="8" t="str">
        <f t="shared" si="29"/>
        <v>Sep</v>
      </c>
    </row>
    <row r="1886" spans="1:11">
      <c r="A1886" s="1" t="s">
        <v>1910</v>
      </c>
      <c r="B1886" s="2">
        <v>45908</v>
      </c>
      <c r="C1886" s="1" t="s">
        <v>28</v>
      </c>
      <c r="D1886" s="1" t="s">
        <v>13</v>
      </c>
      <c r="E1886" s="1" t="s">
        <v>14</v>
      </c>
      <c r="F1886" s="1">
        <v>269</v>
      </c>
      <c r="G1886" s="1">
        <v>29.81</v>
      </c>
      <c r="H1886" s="1">
        <v>8018.89</v>
      </c>
      <c r="I1886" s="1">
        <v>6267.43</v>
      </c>
      <c r="J1886" s="1">
        <v>1751.46</v>
      </c>
      <c r="K1886" s="8" t="str">
        <f t="shared" si="29"/>
        <v>Sep</v>
      </c>
    </row>
    <row r="1887" spans="1:11">
      <c r="A1887" s="1" t="s">
        <v>1911</v>
      </c>
      <c r="B1887" s="2">
        <v>45803</v>
      </c>
      <c r="C1887" s="1" t="s">
        <v>22</v>
      </c>
      <c r="D1887" s="1" t="s">
        <v>13</v>
      </c>
      <c r="E1887" s="1" t="s">
        <v>14</v>
      </c>
      <c r="F1887" s="1">
        <v>271</v>
      </c>
      <c r="G1887" s="1">
        <v>20.79</v>
      </c>
      <c r="H1887" s="1">
        <v>5634.09</v>
      </c>
      <c r="I1887" s="1">
        <v>4158.55</v>
      </c>
      <c r="J1887" s="1">
        <v>1475.54</v>
      </c>
      <c r="K1887" s="8" t="str">
        <f t="shared" si="29"/>
        <v>May</v>
      </c>
    </row>
    <row r="1888" spans="1:11">
      <c r="A1888" s="1" t="s">
        <v>1912</v>
      </c>
      <c r="B1888" s="2">
        <v>45757</v>
      </c>
      <c r="C1888" s="1" t="s">
        <v>12</v>
      </c>
      <c r="D1888" s="1" t="s">
        <v>17</v>
      </c>
      <c r="E1888" s="1" t="s">
        <v>23</v>
      </c>
      <c r="F1888" s="1">
        <v>45</v>
      </c>
      <c r="G1888" s="1">
        <v>13.2</v>
      </c>
      <c r="H1888" s="1">
        <v>594</v>
      </c>
      <c r="I1888" s="1">
        <v>464.31</v>
      </c>
      <c r="J1888" s="1">
        <v>129.69</v>
      </c>
      <c r="K1888" s="8" t="str">
        <f t="shared" si="29"/>
        <v>Apr</v>
      </c>
    </row>
    <row r="1889" spans="1:11">
      <c r="A1889" s="1" t="s">
        <v>1913</v>
      </c>
      <c r="B1889" s="2">
        <v>45745</v>
      </c>
      <c r="C1889" s="1" t="s">
        <v>31</v>
      </c>
      <c r="D1889" s="1" t="s">
        <v>13</v>
      </c>
      <c r="E1889" s="1" t="s">
        <v>14</v>
      </c>
      <c r="F1889" s="1">
        <v>235</v>
      </c>
      <c r="G1889" s="1">
        <v>24.84</v>
      </c>
      <c r="H1889" s="1">
        <v>5837.4</v>
      </c>
      <c r="I1889" s="1">
        <v>4100.57</v>
      </c>
      <c r="J1889" s="1">
        <v>1736.83</v>
      </c>
      <c r="K1889" s="8" t="str">
        <f t="shared" si="29"/>
        <v>Mar</v>
      </c>
    </row>
    <row r="1890" spans="1:11">
      <c r="A1890" s="1" t="s">
        <v>1914</v>
      </c>
      <c r="B1890" s="2">
        <v>45725</v>
      </c>
      <c r="C1890" s="1" t="s">
        <v>22</v>
      </c>
      <c r="D1890" s="1" t="s">
        <v>13</v>
      </c>
      <c r="E1890" s="1" t="s">
        <v>18</v>
      </c>
      <c r="F1890" s="1">
        <v>192</v>
      </c>
      <c r="G1890" s="1">
        <v>36.340000000000003</v>
      </c>
      <c r="H1890" s="1">
        <v>6977.28</v>
      </c>
      <c r="I1890" s="1">
        <v>4619.9399999999996</v>
      </c>
      <c r="J1890" s="1">
        <v>2357.34</v>
      </c>
      <c r="K1890" s="8" t="str">
        <f t="shared" si="29"/>
        <v>Mar</v>
      </c>
    </row>
    <row r="1891" spans="1:11">
      <c r="A1891" s="1" t="s">
        <v>1915</v>
      </c>
      <c r="B1891" s="2">
        <v>45956</v>
      </c>
      <c r="C1891" s="1" t="s">
        <v>22</v>
      </c>
      <c r="D1891" s="1" t="s">
        <v>13</v>
      </c>
      <c r="E1891" s="1" t="s">
        <v>18</v>
      </c>
      <c r="F1891" s="1">
        <v>46</v>
      </c>
      <c r="G1891" s="1">
        <v>37.97</v>
      </c>
      <c r="H1891" s="1">
        <v>1746.62</v>
      </c>
      <c r="I1891" s="1">
        <v>1320.09</v>
      </c>
      <c r="J1891" s="1">
        <v>426.53</v>
      </c>
      <c r="K1891" s="8" t="str">
        <f t="shared" si="29"/>
        <v>Oct</v>
      </c>
    </row>
    <row r="1892" spans="1:11">
      <c r="A1892" s="1" t="s">
        <v>1916</v>
      </c>
      <c r="B1892" s="2">
        <v>45714</v>
      </c>
      <c r="C1892" s="1" t="s">
        <v>12</v>
      </c>
      <c r="D1892" s="1" t="s">
        <v>13</v>
      </c>
      <c r="E1892" s="1" t="s">
        <v>23</v>
      </c>
      <c r="F1892" s="1">
        <v>42</v>
      </c>
      <c r="G1892" s="1">
        <v>16.850000000000001</v>
      </c>
      <c r="H1892" s="1">
        <v>707.7</v>
      </c>
      <c r="I1892" s="1">
        <v>492.91</v>
      </c>
      <c r="J1892" s="1">
        <v>214.79</v>
      </c>
      <c r="K1892" s="8" t="str">
        <f t="shared" si="29"/>
        <v>Feb</v>
      </c>
    </row>
    <row r="1893" spans="1:11">
      <c r="A1893" s="1" t="s">
        <v>1917</v>
      </c>
      <c r="B1893" s="2">
        <v>45782</v>
      </c>
      <c r="C1893" s="1" t="s">
        <v>28</v>
      </c>
      <c r="D1893" s="1" t="s">
        <v>17</v>
      </c>
      <c r="E1893" s="1" t="s">
        <v>23</v>
      </c>
      <c r="F1893" s="1">
        <v>216</v>
      </c>
      <c r="G1893" s="1">
        <v>32.25</v>
      </c>
      <c r="H1893" s="1">
        <v>6966</v>
      </c>
      <c r="I1893" s="1">
        <v>5108.3500000000004</v>
      </c>
      <c r="J1893" s="1">
        <v>1857.65</v>
      </c>
      <c r="K1893" s="8" t="str">
        <f t="shared" si="29"/>
        <v>May</v>
      </c>
    </row>
    <row r="1894" spans="1:11">
      <c r="A1894" s="1" t="s">
        <v>1918</v>
      </c>
      <c r="B1894" s="2">
        <v>45752</v>
      </c>
      <c r="C1894" s="1" t="s">
        <v>16</v>
      </c>
      <c r="D1894" s="1" t="s">
        <v>29</v>
      </c>
      <c r="E1894" s="1" t="s">
        <v>18</v>
      </c>
      <c r="F1894" s="1">
        <v>280</v>
      </c>
      <c r="G1894" s="1">
        <v>37.26</v>
      </c>
      <c r="H1894" s="1">
        <v>10432.799999999999</v>
      </c>
      <c r="I1894" s="1">
        <v>6721.24</v>
      </c>
      <c r="J1894" s="1">
        <v>3711.56</v>
      </c>
      <c r="K1894" s="8" t="str">
        <f t="shared" si="29"/>
        <v>Apr</v>
      </c>
    </row>
    <row r="1895" spans="1:11">
      <c r="A1895" s="1" t="s">
        <v>1919</v>
      </c>
      <c r="B1895" s="2">
        <v>45812</v>
      </c>
      <c r="C1895" s="1" t="s">
        <v>28</v>
      </c>
      <c r="D1895" s="1" t="s">
        <v>29</v>
      </c>
      <c r="E1895" s="1" t="s">
        <v>14</v>
      </c>
      <c r="F1895" s="1">
        <v>232</v>
      </c>
      <c r="G1895" s="1">
        <v>25.51</v>
      </c>
      <c r="H1895" s="1">
        <v>5918.32</v>
      </c>
      <c r="I1895" s="1">
        <v>3700.18</v>
      </c>
      <c r="J1895" s="1">
        <v>2218.14</v>
      </c>
      <c r="K1895" s="8" t="str">
        <f t="shared" si="29"/>
        <v>Jun</v>
      </c>
    </row>
    <row r="1896" spans="1:11">
      <c r="A1896" s="1" t="s">
        <v>1920</v>
      </c>
      <c r="B1896" s="2">
        <v>45774</v>
      </c>
      <c r="C1896" s="1" t="s">
        <v>12</v>
      </c>
      <c r="D1896" s="1" t="s">
        <v>29</v>
      </c>
      <c r="E1896" s="1" t="s">
        <v>33</v>
      </c>
      <c r="F1896" s="1">
        <v>30</v>
      </c>
      <c r="G1896" s="1">
        <v>16.059999999999999</v>
      </c>
      <c r="H1896" s="1">
        <v>481.8</v>
      </c>
      <c r="I1896" s="1">
        <v>367.29</v>
      </c>
      <c r="J1896" s="1">
        <v>114.51</v>
      </c>
      <c r="K1896" s="8" t="str">
        <f t="shared" si="29"/>
        <v>Apr</v>
      </c>
    </row>
    <row r="1897" spans="1:11">
      <c r="A1897" s="1" t="s">
        <v>1921</v>
      </c>
      <c r="B1897" s="2">
        <v>45708</v>
      </c>
      <c r="C1897" s="1" t="s">
        <v>22</v>
      </c>
      <c r="D1897" s="1" t="s">
        <v>17</v>
      </c>
      <c r="E1897" s="1" t="s">
        <v>18</v>
      </c>
      <c r="F1897" s="1">
        <v>55</v>
      </c>
      <c r="G1897" s="1">
        <v>32.5</v>
      </c>
      <c r="H1897" s="1">
        <v>1787.5</v>
      </c>
      <c r="I1897" s="1">
        <v>1190.3499999999999</v>
      </c>
      <c r="J1897" s="1">
        <v>597.15</v>
      </c>
      <c r="K1897" s="8" t="str">
        <f t="shared" si="29"/>
        <v>Feb</v>
      </c>
    </row>
    <row r="1898" spans="1:11">
      <c r="A1898" s="1" t="s">
        <v>1922</v>
      </c>
      <c r="B1898" s="2">
        <v>45797</v>
      </c>
      <c r="C1898" s="1" t="s">
        <v>22</v>
      </c>
      <c r="D1898" s="1" t="s">
        <v>29</v>
      </c>
      <c r="E1898" s="1" t="s">
        <v>23</v>
      </c>
      <c r="F1898" s="1">
        <v>193</v>
      </c>
      <c r="G1898" s="1">
        <v>18.96</v>
      </c>
      <c r="H1898" s="1">
        <v>3659.28</v>
      </c>
      <c r="I1898" s="1">
        <v>2737.95</v>
      </c>
      <c r="J1898" s="1">
        <v>921.33</v>
      </c>
      <c r="K1898" s="8" t="str">
        <f t="shared" si="29"/>
        <v>May</v>
      </c>
    </row>
    <row r="1899" spans="1:11">
      <c r="A1899" s="1" t="s">
        <v>1923</v>
      </c>
      <c r="B1899" s="2">
        <v>45717</v>
      </c>
      <c r="C1899" s="1" t="s">
        <v>36</v>
      </c>
      <c r="D1899" s="1" t="s">
        <v>29</v>
      </c>
      <c r="E1899" s="1" t="s">
        <v>18</v>
      </c>
      <c r="F1899" s="1">
        <v>163</v>
      </c>
      <c r="G1899" s="1">
        <v>28.49</v>
      </c>
      <c r="H1899" s="1">
        <v>4643.87</v>
      </c>
      <c r="I1899" s="1">
        <v>3701.67</v>
      </c>
      <c r="J1899" s="1">
        <v>942.2</v>
      </c>
      <c r="K1899" s="8" t="str">
        <f t="shared" si="29"/>
        <v>Mar</v>
      </c>
    </row>
    <row r="1900" spans="1:11">
      <c r="A1900" s="1" t="s">
        <v>1924</v>
      </c>
      <c r="B1900" s="2">
        <v>45884</v>
      </c>
      <c r="C1900" s="1" t="s">
        <v>36</v>
      </c>
      <c r="D1900" s="1" t="s">
        <v>29</v>
      </c>
      <c r="E1900" s="1" t="s">
        <v>26</v>
      </c>
      <c r="F1900" s="1">
        <v>300</v>
      </c>
      <c r="G1900" s="1">
        <v>35.86</v>
      </c>
      <c r="H1900" s="1">
        <v>10758</v>
      </c>
      <c r="I1900" s="1">
        <v>6749.37</v>
      </c>
      <c r="J1900" s="1">
        <v>4008.63</v>
      </c>
      <c r="K1900" s="8" t="str">
        <f t="shared" si="29"/>
        <v>Aug</v>
      </c>
    </row>
    <row r="1901" spans="1:11">
      <c r="A1901" s="1" t="s">
        <v>1925</v>
      </c>
      <c r="B1901" s="2">
        <v>45804</v>
      </c>
      <c r="C1901" s="1" t="s">
        <v>36</v>
      </c>
      <c r="D1901" s="1" t="s">
        <v>29</v>
      </c>
      <c r="E1901" s="1" t="s">
        <v>20</v>
      </c>
      <c r="F1901" s="1">
        <v>281</v>
      </c>
      <c r="G1901" s="1">
        <v>25.14</v>
      </c>
      <c r="H1901" s="1">
        <v>7064.34</v>
      </c>
      <c r="I1901" s="1">
        <v>4796.63</v>
      </c>
      <c r="J1901" s="1">
        <v>2267.71</v>
      </c>
      <c r="K1901" s="8" t="str">
        <f t="shared" si="29"/>
        <v>May</v>
      </c>
    </row>
    <row r="1902" spans="1:11">
      <c r="A1902" s="1" t="s">
        <v>1926</v>
      </c>
      <c r="B1902" s="2">
        <v>45658</v>
      </c>
      <c r="C1902" s="1" t="s">
        <v>16</v>
      </c>
      <c r="D1902" s="1" t="s">
        <v>17</v>
      </c>
      <c r="E1902" s="1" t="s">
        <v>18</v>
      </c>
      <c r="F1902" s="1">
        <v>153</v>
      </c>
      <c r="G1902" s="1">
        <v>21.51</v>
      </c>
      <c r="H1902" s="1">
        <v>3291.03</v>
      </c>
      <c r="I1902" s="1">
        <v>2157.9</v>
      </c>
      <c r="J1902" s="1">
        <v>1133.1300000000001</v>
      </c>
      <c r="K1902" s="8" t="str">
        <f t="shared" si="29"/>
        <v>Jan</v>
      </c>
    </row>
    <row r="1903" spans="1:11">
      <c r="A1903" s="1" t="s">
        <v>1927</v>
      </c>
      <c r="B1903" s="2">
        <v>45670</v>
      </c>
      <c r="C1903" s="1" t="s">
        <v>16</v>
      </c>
      <c r="D1903" s="1" t="s">
        <v>17</v>
      </c>
      <c r="E1903" s="1" t="s">
        <v>26</v>
      </c>
      <c r="F1903" s="1">
        <v>211</v>
      </c>
      <c r="G1903" s="1">
        <v>14.62</v>
      </c>
      <c r="H1903" s="1">
        <v>3084.82</v>
      </c>
      <c r="I1903" s="1">
        <v>2177.2800000000002</v>
      </c>
      <c r="J1903" s="1">
        <v>907.54</v>
      </c>
      <c r="K1903" s="8" t="str">
        <f t="shared" si="29"/>
        <v>Jan</v>
      </c>
    </row>
    <row r="1904" spans="1:11">
      <c r="A1904" s="1" t="s">
        <v>1928</v>
      </c>
      <c r="B1904" s="2">
        <v>45818</v>
      </c>
      <c r="C1904" s="1" t="s">
        <v>36</v>
      </c>
      <c r="D1904" s="1" t="s">
        <v>29</v>
      </c>
      <c r="E1904" s="1" t="s">
        <v>23</v>
      </c>
      <c r="F1904" s="1">
        <v>202</v>
      </c>
      <c r="G1904" s="1">
        <v>27.88</v>
      </c>
      <c r="H1904" s="1">
        <v>5631.76</v>
      </c>
      <c r="I1904" s="1">
        <v>3659.96</v>
      </c>
      <c r="J1904" s="1">
        <v>1971.8</v>
      </c>
      <c r="K1904" s="8" t="str">
        <f t="shared" si="29"/>
        <v>Jun</v>
      </c>
    </row>
    <row r="1905" spans="1:11">
      <c r="A1905" s="1" t="s">
        <v>1929</v>
      </c>
      <c r="B1905" s="2">
        <v>45921</v>
      </c>
      <c r="C1905" s="1" t="s">
        <v>12</v>
      </c>
      <c r="D1905" s="1" t="s">
        <v>13</v>
      </c>
      <c r="E1905" s="1" t="s">
        <v>14</v>
      </c>
      <c r="F1905" s="1">
        <v>249</v>
      </c>
      <c r="G1905" s="1">
        <v>20.64</v>
      </c>
      <c r="H1905" s="1">
        <v>5139.3599999999997</v>
      </c>
      <c r="I1905" s="1">
        <v>4014.98</v>
      </c>
      <c r="J1905" s="1">
        <v>1124.3800000000001</v>
      </c>
      <c r="K1905" s="8" t="str">
        <f t="shared" si="29"/>
        <v>Sep</v>
      </c>
    </row>
    <row r="1906" spans="1:11">
      <c r="A1906" s="1" t="s">
        <v>1930</v>
      </c>
      <c r="B1906" s="2">
        <v>45720</v>
      </c>
      <c r="C1906" s="1" t="s">
        <v>28</v>
      </c>
      <c r="D1906" s="1" t="s">
        <v>29</v>
      </c>
      <c r="E1906" s="1" t="s">
        <v>20</v>
      </c>
      <c r="F1906" s="1">
        <v>222</v>
      </c>
      <c r="G1906" s="1">
        <v>14.57</v>
      </c>
      <c r="H1906" s="1">
        <v>3234.54</v>
      </c>
      <c r="I1906" s="1">
        <v>2062.79</v>
      </c>
      <c r="J1906" s="1">
        <v>1171.75</v>
      </c>
      <c r="K1906" s="8" t="str">
        <f t="shared" si="29"/>
        <v>Mar</v>
      </c>
    </row>
    <row r="1907" spans="1:11">
      <c r="A1907" s="1" t="s">
        <v>1931</v>
      </c>
      <c r="B1907" s="2">
        <v>45982</v>
      </c>
      <c r="C1907" s="1" t="s">
        <v>28</v>
      </c>
      <c r="D1907" s="1" t="s">
        <v>29</v>
      </c>
      <c r="E1907" s="1" t="s">
        <v>18</v>
      </c>
      <c r="F1907" s="1">
        <v>251</v>
      </c>
      <c r="G1907" s="1">
        <v>36.22</v>
      </c>
      <c r="H1907" s="1">
        <v>9091.2199999999993</v>
      </c>
      <c r="I1907" s="1">
        <v>6843.15</v>
      </c>
      <c r="J1907" s="1">
        <v>2248.0700000000002</v>
      </c>
      <c r="K1907" s="8" t="str">
        <f t="shared" si="29"/>
        <v>Nov</v>
      </c>
    </row>
    <row r="1908" spans="1:11">
      <c r="A1908" s="1" t="s">
        <v>1932</v>
      </c>
      <c r="B1908" s="2">
        <v>45991</v>
      </c>
      <c r="C1908" s="1" t="s">
        <v>31</v>
      </c>
      <c r="D1908" s="1" t="s">
        <v>29</v>
      </c>
      <c r="E1908" s="1" t="s">
        <v>20</v>
      </c>
      <c r="F1908" s="1">
        <v>206</v>
      </c>
      <c r="G1908" s="1">
        <v>27.49</v>
      </c>
      <c r="H1908" s="1">
        <v>5662.94</v>
      </c>
      <c r="I1908" s="1">
        <v>3923.8</v>
      </c>
      <c r="J1908" s="1">
        <v>1739.14</v>
      </c>
      <c r="K1908" s="8" t="str">
        <f t="shared" si="29"/>
        <v>Nov</v>
      </c>
    </row>
    <row r="1909" spans="1:11">
      <c r="A1909" s="1" t="s">
        <v>1933</v>
      </c>
      <c r="B1909" s="2">
        <v>45817</v>
      </c>
      <c r="C1909" s="1" t="s">
        <v>28</v>
      </c>
      <c r="D1909" s="1" t="s">
        <v>17</v>
      </c>
      <c r="E1909" s="1" t="s">
        <v>18</v>
      </c>
      <c r="F1909" s="1">
        <v>128</v>
      </c>
      <c r="G1909" s="1">
        <v>13.13</v>
      </c>
      <c r="H1909" s="1">
        <v>1680.64</v>
      </c>
      <c r="I1909" s="1">
        <v>1138.08</v>
      </c>
      <c r="J1909" s="1">
        <v>542.55999999999995</v>
      </c>
      <c r="K1909" s="8" t="str">
        <f t="shared" si="29"/>
        <v>Jun</v>
      </c>
    </row>
    <row r="1910" spans="1:11">
      <c r="A1910" s="1" t="s">
        <v>1934</v>
      </c>
      <c r="B1910" s="2">
        <v>45855</v>
      </c>
      <c r="C1910" s="1" t="s">
        <v>31</v>
      </c>
      <c r="D1910" s="1" t="s">
        <v>17</v>
      </c>
      <c r="E1910" s="1" t="s">
        <v>18</v>
      </c>
      <c r="F1910" s="1">
        <v>216</v>
      </c>
      <c r="G1910" s="1">
        <v>29.78</v>
      </c>
      <c r="H1910" s="1">
        <v>6432.48</v>
      </c>
      <c r="I1910" s="1">
        <v>4419.78</v>
      </c>
      <c r="J1910" s="1">
        <v>2012.7</v>
      </c>
      <c r="K1910" s="8" t="str">
        <f t="shared" si="29"/>
        <v>Jul</v>
      </c>
    </row>
    <row r="1911" spans="1:11">
      <c r="A1911" s="1" t="s">
        <v>1935</v>
      </c>
      <c r="B1911" s="2">
        <v>45771</v>
      </c>
      <c r="C1911" s="1" t="s">
        <v>22</v>
      </c>
      <c r="D1911" s="1" t="s">
        <v>29</v>
      </c>
      <c r="E1911" s="1" t="s">
        <v>23</v>
      </c>
      <c r="F1911" s="1">
        <v>125</v>
      </c>
      <c r="G1911" s="1">
        <v>30.21</v>
      </c>
      <c r="H1911" s="1">
        <v>3776.25</v>
      </c>
      <c r="I1911" s="1">
        <v>2614.73</v>
      </c>
      <c r="J1911" s="1">
        <v>1161.52</v>
      </c>
      <c r="K1911" s="8" t="str">
        <f t="shared" si="29"/>
        <v>Apr</v>
      </c>
    </row>
    <row r="1912" spans="1:11">
      <c r="A1912" s="1" t="s">
        <v>1936</v>
      </c>
      <c r="B1912" s="2">
        <v>45712</v>
      </c>
      <c r="C1912" s="1" t="s">
        <v>12</v>
      </c>
      <c r="D1912" s="1" t="s">
        <v>17</v>
      </c>
      <c r="E1912" s="1" t="s">
        <v>14</v>
      </c>
      <c r="F1912" s="1">
        <v>253</v>
      </c>
      <c r="G1912" s="1">
        <v>13.31</v>
      </c>
      <c r="H1912" s="1">
        <v>3367.43</v>
      </c>
      <c r="I1912" s="1">
        <v>2391.5100000000002</v>
      </c>
      <c r="J1912" s="1">
        <v>975.92</v>
      </c>
      <c r="K1912" s="8" t="str">
        <f t="shared" si="29"/>
        <v>Feb</v>
      </c>
    </row>
    <row r="1913" spans="1:11">
      <c r="A1913" s="1" t="s">
        <v>1937</v>
      </c>
      <c r="B1913" s="2">
        <v>45998</v>
      </c>
      <c r="C1913" s="1" t="s">
        <v>28</v>
      </c>
      <c r="D1913" s="1" t="s">
        <v>29</v>
      </c>
      <c r="E1913" s="1" t="s">
        <v>26</v>
      </c>
      <c r="F1913" s="1">
        <v>54</v>
      </c>
      <c r="G1913" s="1">
        <v>33.479999999999997</v>
      </c>
      <c r="H1913" s="1">
        <v>1807.92</v>
      </c>
      <c r="I1913" s="1">
        <v>1231.03</v>
      </c>
      <c r="J1913" s="1">
        <v>576.89</v>
      </c>
      <c r="K1913" s="8" t="str">
        <f t="shared" si="29"/>
        <v>Dec</v>
      </c>
    </row>
    <row r="1914" spans="1:11">
      <c r="A1914" s="1" t="s">
        <v>1938</v>
      </c>
      <c r="B1914" s="2">
        <v>45887</v>
      </c>
      <c r="C1914" s="1" t="s">
        <v>36</v>
      </c>
      <c r="D1914" s="1" t="s">
        <v>13</v>
      </c>
      <c r="E1914" s="1" t="s">
        <v>23</v>
      </c>
      <c r="F1914" s="1">
        <v>118</v>
      </c>
      <c r="G1914" s="1">
        <v>37.81</v>
      </c>
      <c r="H1914" s="1">
        <v>4461.58</v>
      </c>
      <c r="I1914" s="1">
        <v>2982.58</v>
      </c>
      <c r="J1914" s="1">
        <v>1479</v>
      </c>
      <c r="K1914" s="8" t="str">
        <f t="shared" si="29"/>
        <v>Aug</v>
      </c>
    </row>
    <row r="1915" spans="1:11">
      <c r="A1915" s="1" t="s">
        <v>1939</v>
      </c>
      <c r="B1915" s="2">
        <v>45866</v>
      </c>
      <c r="C1915" s="1" t="s">
        <v>36</v>
      </c>
      <c r="D1915" s="1" t="s">
        <v>29</v>
      </c>
      <c r="E1915" s="1" t="s">
        <v>14</v>
      </c>
      <c r="F1915" s="1">
        <v>235</v>
      </c>
      <c r="G1915" s="1">
        <v>20.97</v>
      </c>
      <c r="H1915" s="1">
        <v>4927.95</v>
      </c>
      <c r="I1915" s="1">
        <v>3488.12</v>
      </c>
      <c r="J1915" s="1">
        <v>1439.83</v>
      </c>
      <c r="K1915" s="8" t="str">
        <f t="shared" si="29"/>
        <v>Jul</v>
      </c>
    </row>
    <row r="1916" spans="1:11">
      <c r="A1916" s="1" t="s">
        <v>1940</v>
      </c>
      <c r="B1916" s="2">
        <v>46000</v>
      </c>
      <c r="C1916" s="1" t="s">
        <v>12</v>
      </c>
      <c r="D1916" s="1" t="s">
        <v>17</v>
      </c>
      <c r="E1916" s="1" t="s">
        <v>18</v>
      </c>
      <c r="F1916" s="1">
        <v>197</v>
      </c>
      <c r="G1916" s="1">
        <v>38.69</v>
      </c>
      <c r="H1916" s="1">
        <v>7621.93</v>
      </c>
      <c r="I1916" s="1">
        <v>5276.74</v>
      </c>
      <c r="J1916" s="1">
        <v>2345.19</v>
      </c>
      <c r="K1916" s="8" t="str">
        <f t="shared" si="29"/>
        <v>Dec</v>
      </c>
    </row>
    <row r="1917" spans="1:11">
      <c r="A1917" s="1" t="s">
        <v>1941</v>
      </c>
      <c r="B1917" s="2">
        <v>45946</v>
      </c>
      <c r="C1917" s="1" t="s">
        <v>31</v>
      </c>
      <c r="D1917" s="1" t="s">
        <v>29</v>
      </c>
      <c r="E1917" s="1" t="s">
        <v>20</v>
      </c>
      <c r="F1917" s="1">
        <v>238</v>
      </c>
      <c r="G1917" s="1">
        <v>13.49</v>
      </c>
      <c r="H1917" s="1">
        <v>3210.62</v>
      </c>
      <c r="I1917" s="1">
        <v>2228.5500000000002</v>
      </c>
      <c r="J1917" s="1">
        <v>982.07</v>
      </c>
      <c r="K1917" s="8" t="str">
        <f t="shared" si="29"/>
        <v>Oct</v>
      </c>
    </row>
    <row r="1918" spans="1:11">
      <c r="A1918" s="1" t="s">
        <v>1942</v>
      </c>
      <c r="B1918" s="2">
        <v>45698</v>
      </c>
      <c r="C1918" s="1" t="s">
        <v>28</v>
      </c>
      <c r="D1918" s="1" t="s">
        <v>17</v>
      </c>
      <c r="E1918" s="1" t="s">
        <v>33</v>
      </c>
      <c r="F1918" s="1">
        <v>278</v>
      </c>
      <c r="G1918" s="1">
        <v>30.06</v>
      </c>
      <c r="H1918" s="1">
        <v>8356.68</v>
      </c>
      <c r="I1918" s="1">
        <v>5873.28</v>
      </c>
      <c r="J1918" s="1">
        <v>2483.4</v>
      </c>
      <c r="K1918" s="8" t="str">
        <f t="shared" si="29"/>
        <v>Feb</v>
      </c>
    </row>
    <row r="1919" spans="1:11">
      <c r="A1919" s="1" t="s">
        <v>1943</v>
      </c>
      <c r="B1919" s="2">
        <v>45973</v>
      </c>
      <c r="C1919" s="1" t="s">
        <v>22</v>
      </c>
      <c r="D1919" s="1" t="s">
        <v>13</v>
      </c>
      <c r="E1919" s="1" t="s">
        <v>33</v>
      </c>
      <c r="F1919" s="1">
        <v>225</v>
      </c>
      <c r="G1919" s="1">
        <v>33.42</v>
      </c>
      <c r="H1919" s="1">
        <v>7519.5</v>
      </c>
      <c r="I1919" s="1">
        <v>5968.31</v>
      </c>
      <c r="J1919" s="1">
        <v>1551.19</v>
      </c>
      <c r="K1919" s="8" t="str">
        <f t="shared" si="29"/>
        <v>Nov</v>
      </c>
    </row>
    <row r="1920" spans="1:11">
      <c r="A1920" s="1" t="s">
        <v>1944</v>
      </c>
      <c r="B1920" s="2">
        <v>45949</v>
      </c>
      <c r="C1920" s="1" t="s">
        <v>31</v>
      </c>
      <c r="D1920" s="1" t="s">
        <v>13</v>
      </c>
      <c r="E1920" s="1" t="s">
        <v>20</v>
      </c>
      <c r="F1920" s="1">
        <v>285</v>
      </c>
      <c r="G1920" s="1">
        <v>21.47</v>
      </c>
      <c r="H1920" s="1">
        <v>6118.95</v>
      </c>
      <c r="I1920" s="1">
        <v>4159.78</v>
      </c>
      <c r="J1920" s="1">
        <v>1959.17</v>
      </c>
      <c r="K1920" s="8" t="str">
        <f t="shared" si="29"/>
        <v>Oct</v>
      </c>
    </row>
    <row r="1921" spans="1:11">
      <c r="A1921" s="1" t="s">
        <v>1945</v>
      </c>
      <c r="B1921" s="2">
        <v>45691</v>
      </c>
      <c r="C1921" s="1" t="s">
        <v>12</v>
      </c>
      <c r="D1921" s="1" t="s">
        <v>17</v>
      </c>
      <c r="E1921" s="1" t="s">
        <v>18</v>
      </c>
      <c r="F1921" s="1">
        <v>184</v>
      </c>
      <c r="G1921" s="1">
        <v>35.9</v>
      </c>
      <c r="H1921" s="1">
        <v>6605.6</v>
      </c>
      <c r="I1921" s="1">
        <v>4332.1000000000004</v>
      </c>
      <c r="J1921" s="1">
        <v>2273.5</v>
      </c>
      <c r="K1921" s="8" t="str">
        <f t="shared" si="29"/>
        <v>Feb</v>
      </c>
    </row>
    <row r="1922" spans="1:11">
      <c r="A1922" s="1" t="s">
        <v>1946</v>
      </c>
      <c r="B1922" s="2">
        <v>45662</v>
      </c>
      <c r="C1922" s="1" t="s">
        <v>31</v>
      </c>
      <c r="D1922" s="1" t="s">
        <v>17</v>
      </c>
      <c r="E1922" s="1" t="s">
        <v>18</v>
      </c>
      <c r="F1922" s="1">
        <v>77</v>
      </c>
      <c r="G1922" s="1">
        <v>26.11</v>
      </c>
      <c r="H1922" s="1">
        <v>2010.47</v>
      </c>
      <c r="I1922" s="1">
        <v>1458.02</v>
      </c>
      <c r="J1922" s="1">
        <v>552.45000000000005</v>
      </c>
      <c r="K1922" s="8" t="str">
        <f t="shared" ref="K1922:K1985" si="30">TEXT(B1922,"mmm")</f>
        <v>Jan</v>
      </c>
    </row>
    <row r="1923" spans="1:11">
      <c r="A1923" s="1" t="s">
        <v>1947</v>
      </c>
      <c r="B1923" s="2">
        <v>45792</v>
      </c>
      <c r="C1923" s="1" t="s">
        <v>16</v>
      </c>
      <c r="D1923" s="1" t="s">
        <v>29</v>
      </c>
      <c r="E1923" s="1" t="s">
        <v>23</v>
      </c>
      <c r="F1923" s="1">
        <v>186</v>
      </c>
      <c r="G1923" s="1">
        <v>13.29</v>
      </c>
      <c r="H1923" s="1">
        <v>2471.94</v>
      </c>
      <c r="I1923" s="1">
        <v>1883.66</v>
      </c>
      <c r="J1923" s="1">
        <v>588.28</v>
      </c>
      <c r="K1923" s="8" t="str">
        <f t="shared" si="30"/>
        <v>May</v>
      </c>
    </row>
    <row r="1924" spans="1:11">
      <c r="A1924" s="1" t="s">
        <v>1948</v>
      </c>
      <c r="B1924" s="2">
        <v>45747</v>
      </c>
      <c r="C1924" s="1" t="s">
        <v>16</v>
      </c>
      <c r="D1924" s="1" t="s">
        <v>13</v>
      </c>
      <c r="E1924" s="1" t="s">
        <v>14</v>
      </c>
      <c r="F1924" s="1">
        <v>211</v>
      </c>
      <c r="G1924" s="1">
        <v>31.15</v>
      </c>
      <c r="H1924" s="1">
        <v>6572.65</v>
      </c>
      <c r="I1924" s="1">
        <v>4014.31</v>
      </c>
      <c r="J1924" s="1">
        <v>2558.34</v>
      </c>
      <c r="K1924" s="8" t="str">
        <f t="shared" si="30"/>
        <v>Mar</v>
      </c>
    </row>
    <row r="1925" spans="1:11">
      <c r="A1925" s="1" t="s">
        <v>1949</v>
      </c>
      <c r="B1925" s="2">
        <v>45921</v>
      </c>
      <c r="C1925" s="1" t="s">
        <v>12</v>
      </c>
      <c r="D1925" s="1" t="s">
        <v>13</v>
      </c>
      <c r="E1925" s="1" t="s">
        <v>20</v>
      </c>
      <c r="F1925" s="1">
        <v>117</v>
      </c>
      <c r="G1925" s="1">
        <v>23.52</v>
      </c>
      <c r="H1925" s="1">
        <v>2751.84</v>
      </c>
      <c r="I1925" s="1">
        <v>2186.12</v>
      </c>
      <c r="J1925" s="1">
        <v>565.72</v>
      </c>
      <c r="K1925" s="8" t="str">
        <f t="shared" si="30"/>
        <v>Sep</v>
      </c>
    </row>
    <row r="1926" spans="1:11">
      <c r="A1926" s="1" t="s">
        <v>1950</v>
      </c>
      <c r="B1926" s="2">
        <v>46019</v>
      </c>
      <c r="C1926" s="1" t="s">
        <v>31</v>
      </c>
      <c r="D1926" s="1" t="s">
        <v>13</v>
      </c>
      <c r="E1926" s="1" t="s">
        <v>14</v>
      </c>
      <c r="F1926" s="1">
        <v>71</v>
      </c>
      <c r="G1926" s="1">
        <v>21.56</v>
      </c>
      <c r="H1926" s="1">
        <v>1530.76</v>
      </c>
      <c r="I1926" s="1">
        <v>1060.49</v>
      </c>
      <c r="J1926" s="1">
        <v>470.27</v>
      </c>
      <c r="K1926" s="8" t="str">
        <f t="shared" si="30"/>
        <v>Dec</v>
      </c>
    </row>
    <row r="1927" spans="1:11">
      <c r="A1927" s="1" t="s">
        <v>1951</v>
      </c>
      <c r="B1927" s="2">
        <v>45812</v>
      </c>
      <c r="C1927" s="1" t="s">
        <v>31</v>
      </c>
      <c r="D1927" s="1" t="s">
        <v>17</v>
      </c>
      <c r="E1927" s="1" t="s">
        <v>33</v>
      </c>
      <c r="F1927" s="1">
        <v>189</v>
      </c>
      <c r="G1927" s="1">
        <v>18.18</v>
      </c>
      <c r="H1927" s="1">
        <v>3436.02</v>
      </c>
      <c r="I1927" s="1">
        <v>2191.42</v>
      </c>
      <c r="J1927" s="1">
        <v>1244.5999999999999</v>
      </c>
      <c r="K1927" s="8" t="str">
        <f t="shared" si="30"/>
        <v>Jun</v>
      </c>
    </row>
    <row r="1928" spans="1:11">
      <c r="A1928" s="1" t="s">
        <v>1952</v>
      </c>
      <c r="B1928" s="2">
        <v>45945</v>
      </c>
      <c r="C1928" s="1" t="s">
        <v>22</v>
      </c>
      <c r="D1928" s="1" t="s">
        <v>29</v>
      </c>
      <c r="E1928" s="1" t="s">
        <v>23</v>
      </c>
      <c r="F1928" s="1">
        <v>33</v>
      </c>
      <c r="G1928" s="1">
        <v>34.340000000000003</v>
      </c>
      <c r="H1928" s="1">
        <v>1133.22</v>
      </c>
      <c r="I1928" s="1">
        <v>833.66</v>
      </c>
      <c r="J1928" s="1">
        <v>299.56</v>
      </c>
      <c r="K1928" s="8" t="str">
        <f t="shared" si="30"/>
        <v>Oct</v>
      </c>
    </row>
    <row r="1929" spans="1:11">
      <c r="A1929" s="1" t="s">
        <v>1953</v>
      </c>
      <c r="B1929" s="2">
        <v>45885</v>
      </c>
      <c r="C1929" s="1" t="s">
        <v>36</v>
      </c>
      <c r="D1929" s="1" t="s">
        <v>13</v>
      </c>
      <c r="E1929" s="1" t="s">
        <v>26</v>
      </c>
      <c r="F1929" s="1">
        <v>178</v>
      </c>
      <c r="G1929" s="1">
        <v>28.38</v>
      </c>
      <c r="H1929" s="1">
        <v>5051.6400000000003</v>
      </c>
      <c r="I1929" s="1">
        <v>3185.93</v>
      </c>
      <c r="J1929" s="1">
        <v>1865.71</v>
      </c>
      <c r="K1929" s="8" t="str">
        <f t="shared" si="30"/>
        <v>Aug</v>
      </c>
    </row>
    <row r="1930" spans="1:11">
      <c r="A1930" s="1" t="s">
        <v>1954</v>
      </c>
      <c r="B1930" s="2">
        <v>45851</v>
      </c>
      <c r="C1930" s="1" t="s">
        <v>16</v>
      </c>
      <c r="D1930" s="1" t="s">
        <v>13</v>
      </c>
      <c r="E1930" s="1" t="s">
        <v>14</v>
      </c>
      <c r="F1930" s="1">
        <v>83</v>
      </c>
      <c r="G1930" s="1">
        <v>26.33</v>
      </c>
      <c r="H1930" s="1">
        <v>2185.39</v>
      </c>
      <c r="I1930" s="1">
        <v>1725.49</v>
      </c>
      <c r="J1930" s="1">
        <v>459.9</v>
      </c>
      <c r="K1930" s="8" t="str">
        <f t="shared" si="30"/>
        <v>Jul</v>
      </c>
    </row>
    <row r="1931" spans="1:11">
      <c r="A1931" s="1" t="s">
        <v>1955</v>
      </c>
      <c r="B1931" s="2">
        <v>45833</v>
      </c>
      <c r="C1931" s="1" t="s">
        <v>22</v>
      </c>
      <c r="D1931" s="1" t="s">
        <v>13</v>
      </c>
      <c r="E1931" s="1" t="s">
        <v>26</v>
      </c>
      <c r="F1931" s="1">
        <v>182</v>
      </c>
      <c r="G1931" s="1">
        <v>37.24</v>
      </c>
      <c r="H1931" s="1">
        <v>6777.68</v>
      </c>
      <c r="I1931" s="1">
        <v>4069.93</v>
      </c>
      <c r="J1931" s="1">
        <v>2707.75</v>
      </c>
      <c r="K1931" s="8" t="str">
        <f t="shared" si="30"/>
        <v>Jun</v>
      </c>
    </row>
    <row r="1932" spans="1:11">
      <c r="A1932" s="1" t="s">
        <v>1956</v>
      </c>
      <c r="B1932" s="2">
        <v>45913</v>
      </c>
      <c r="C1932" s="1" t="s">
        <v>28</v>
      </c>
      <c r="D1932" s="1" t="s">
        <v>17</v>
      </c>
      <c r="E1932" s="1" t="s">
        <v>20</v>
      </c>
      <c r="F1932" s="1">
        <v>235</v>
      </c>
      <c r="G1932" s="1">
        <v>29.9</v>
      </c>
      <c r="H1932" s="1">
        <v>7026.5</v>
      </c>
      <c r="I1932" s="1">
        <v>5606.41</v>
      </c>
      <c r="J1932" s="1">
        <v>1420.09</v>
      </c>
      <c r="K1932" s="8" t="str">
        <f t="shared" si="30"/>
        <v>Sep</v>
      </c>
    </row>
    <row r="1933" spans="1:11">
      <c r="A1933" s="1" t="s">
        <v>1957</v>
      </c>
      <c r="B1933" s="2">
        <v>45683</v>
      </c>
      <c r="C1933" s="1" t="s">
        <v>28</v>
      </c>
      <c r="D1933" s="1" t="s">
        <v>13</v>
      </c>
      <c r="E1933" s="1" t="s">
        <v>33</v>
      </c>
      <c r="F1933" s="1">
        <v>135</v>
      </c>
      <c r="G1933" s="1">
        <v>27.3</v>
      </c>
      <c r="H1933" s="1">
        <v>3685.5</v>
      </c>
      <c r="I1933" s="1">
        <v>2923.68</v>
      </c>
      <c r="J1933" s="1">
        <v>761.82</v>
      </c>
      <c r="K1933" s="8" t="str">
        <f t="shared" si="30"/>
        <v>Jan</v>
      </c>
    </row>
    <row r="1934" spans="1:11">
      <c r="A1934" s="1" t="s">
        <v>1958</v>
      </c>
      <c r="B1934" s="2">
        <v>45815</v>
      </c>
      <c r="C1934" s="1" t="s">
        <v>31</v>
      </c>
      <c r="D1934" s="1" t="s">
        <v>17</v>
      </c>
      <c r="E1934" s="1" t="s">
        <v>18</v>
      </c>
      <c r="F1934" s="1">
        <v>129</v>
      </c>
      <c r="G1934" s="1">
        <v>38.31</v>
      </c>
      <c r="H1934" s="1">
        <v>4941.99</v>
      </c>
      <c r="I1934" s="1">
        <v>3238</v>
      </c>
      <c r="J1934" s="1">
        <v>1703.99</v>
      </c>
      <c r="K1934" s="8" t="str">
        <f t="shared" si="30"/>
        <v>Jun</v>
      </c>
    </row>
    <row r="1935" spans="1:11">
      <c r="A1935" s="1" t="s">
        <v>1959</v>
      </c>
      <c r="B1935" s="2">
        <v>45968</v>
      </c>
      <c r="C1935" s="1" t="s">
        <v>16</v>
      </c>
      <c r="D1935" s="1" t="s">
        <v>29</v>
      </c>
      <c r="E1935" s="1" t="s">
        <v>26</v>
      </c>
      <c r="F1935" s="1">
        <v>240</v>
      </c>
      <c r="G1935" s="1">
        <v>21.55</v>
      </c>
      <c r="H1935" s="1">
        <v>5172</v>
      </c>
      <c r="I1935" s="1">
        <v>3792.2</v>
      </c>
      <c r="J1935" s="1">
        <v>1379.8</v>
      </c>
      <c r="K1935" s="8" t="str">
        <f t="shared" si="30"/>
        <v>Nov</v>
      </c>
    </row>
    <row r="1936" spans="1:11">
      <c r="A1936" s="1" t="s">
        <v>1960</v>
      </c>
      <c r="B1936" s="2">
        <v>45848</v>
      </c>
      <c r="C1936" s="1" t="s">
        <v>36</v>
      </c>
      <c r="D1936" s="1" t="s">
        <v>13</v>
      </c>
      <c r="E1936" s="1" t="s">
        <v>14</v>
      </c>
      <c r="F1936" s="1">
        <v>222</v>
      </c>
      <c r="G1936" s="1">
        <v>14.22</v>
      </c>
      <c r="H1936" s="1">
        <v>3156.84</v>
      </c>
      <c r="I1936" s="1">
        <v>1921.18</v>
      </c>
      <c r="J1936" s="1">
        <v>1235.6600000000001</v>
      </c>
      <c r="K1936" s="8" t="str">
        <f t="shared" si="30"/>
        <v>Jul</v>
      </c>
    </row>
    <row r="1937" spans="1:11">
      <c r="A1937" s="1" t="s">
        <v>1961</v>
      </c>
      <c r="B1937" s="2">
        <v>45686</v>
      </c>
      <c r="C1937" s="1" t="s">
        <v>31</v>
      </c>
      <c r="D1937" s="1" t="s">
        <v>29</v>
      </c>
      <c r="E1937" s="1" t="s">
        <v>23</v>
      </c>
      <c r="F1937" s="1">
        <v>96</v>
      </c>
      <c r="G1937" s="1">
        <v>12.57</v>
      </c>
      <c r="H1937" s="1">
        <v>1206.72</v>
      </c>
      <c r="I1937" s="1">
        <v>743.11</v>
      </c>
      <c r="J1937" s="1">
        <v>463.61</v>
      </c>
      <c r="K1937" s="8" t="str">
        <f t="shared" si="30"/>
        <v>Jan</v>
      </c>
    </row>
    <row r="1938" spans="1:11">
      <c r="A1938" s="1" t="s">
        <v>1962</v>
      </c>
      <c r="B1938" s="2">
        <v>45797</v>
      </c>
      <c r="C1938" s="1" t="s">
        <v>31</v>
      </c>
      <c r="D1938" s="1" t="s">
        <v>13</v>
      </c>
      <c r="E1938" s="1" t="s">
        <v>23</v>
      </c>
      <c r="F1938" s="1">
        <v>158</v>
      </c>
      <c r="G1938" s="1">
        <v>18.579999999999998</v>
      </c>
      <c r="H1938" s="1">
        <v>2935.64</v>
      </c>
      <c r="I1938" s="1">
        <v>2063.94</v>
      </c>
      <c r="J1938" s="1">
        <v>871.7</v>
      </c>
      <c r="K1938" s="8" t="str">
        <f t="shared" si="30"/>
        <v>May</v>
      </c>
    </row>
    <row r="1939" spans="1:11">
      <c r="A1939" s="1" t="s">
        <v>1963</v>
      </c>
      <c r="B1939" s="2">
        <v>45875</v>
      </c>
      <c r="C1939" s="1" t="s">
        <v>22</v>
      </c>
      <c r="D1939" s="1" t="s">
        <v>17</v>
      </c>
      <c r="E1939" s="1" t="s">
        <v>23</v>
      </c>
      <c r="F1939" s="1">
        <v>65</v>
      </c>
      <c r="G1939" s="1">
        <v>36.950000000000003</v>
      </c>
      <c r="H1939" s="1">
        <v>2401.75</v>
      </c>
      <c r="I1939" s="1">
        <v>1889.8</v>
      </c>
      <c r="J1939" s="1">
        <v>511.95</v>
      </c>
      <c r="K1939" s="8" t="str">
        <f t="shared" si="30"/>
        <v>Aug</v>
      </c>
    </row>
    <row r="1940" spans="1:11">
      <c r="A1940" s="1" t="s">
        <v>1964</v>
      </c>
      <c r="B1940" s="2">
        <v>45791</v>
      </c>
      <c r="C1940" s="1" t="s">
        <v>36</v>
      </c>
      <c r="D1940" s="1" t="s">
        <v>13</v>
      </c>
      <c r="E1940" s="1" t="s">
        <v>26</v>
      </c>
      <c r="F1940" s="1">
        <v>106</v>
      </c>
      <c r="G1940" s="1">
        <v>25.52</v>
      </c>
      <c r="H1940" s="1">
        <v>2705.12</v>
      </c>
      <c r="I1940" s="1">
        <v>1625.86</v>
      </c>
      <c r="J1940" s="1">
        <v>1079.26</v>
      </c>
      <c r="K1940" s="8" t="str">
        <f t="shared" si="30"/>
        <v>May</v>
      </c>
    </row>
    <row r="1941" spans="1:11">
      <c r="A1941" s="1" t="s">
        <v>1965</v>
      </c>
      <c r="B1941" s="2">
        <v>45950</v>
      </c>
      <c r="C1941" s="1" t="s">
        <v>31</v>
      </c>
      <c r="D1941" s="1" t="s">
        <v>29</v>
      </c>
      <c r="E1941" s="1" t="s">
        <v>14</v>
      </c>
      <c r="F1941" s="1">
        <v>72</v>
      </c>
      <c r="G1941" s="1">
        <v>23.66</v>
      </c>
      <c r="H1941" s="1">
        <v>1703.52</v>
      </c>
      <c r="I1941" s="1">
        <v>1209.32</v>
      </c>
      <c r="J1941" s="1">
        <v>494.2</v>
      </c>
      <c r="K1941" s="8" t="str">
        <f t="shared" si="30"/>
        <v>Oct</v>
      </c>
    </row>
    <row r="1942" spans="1:11">
      <c r="A1942" s="1" t="s">
        <v>1966</v>
      </c>
      <c r="B1942" s="2">
        <v>45918</v>
      </c>
      <c r="C1942" s="1" t="s">
        <v>36</v>
      </c>
      <c r="D1942" s="1" t="s">
        <v>17</v>
      </c>
      <c r="E1942" s="1" t="s">
        <v>14</v>
      </c>
      <c r="F1942" s="1">
        <v>221</v>
      </c>
      <c r="G1942" s="1">
        <v>39.19</v>
      </c>
      <c r="H1942" s="1">
        <v>8660.99</v>
      </c>
      <c r="I1942" s="1">
        <v>5292.98</v>
      </c>
      <c r="J1942" s="1">
        <v>3368.01</v>
      </c>
      <c r="K1942" s="8" t="str">
        <f t="shared" si="30"/>
        <v>Sep</v>
      </c>
    </row>
    <row r="1943" spans="1:11">
      <c r="A1943" s="1" t="s">
        <v>1967</v>
      </c>
      <c r="B1943" s="2">
        <v>45722</v>
      </c>
      <c r="C1943" s="1" t="s">
        <v>28</v>
      </c>
      <c r="D1943" s="1" t="s">
        <v>17</v>
      </c>
      <c r="E1943" s="1" t="s">
        <v>20</v>
      </c>
      <c r="F1943" s="1">
        <v>238</v>
      </c>
      <c r="G1943" s="1">
        <v>17.97</v>
      </c>
      <c r="H1943" s="1">
        <v>4276.8599999999997</v>
      </c>
      <c r="I1943" s="1">
        <v>3180.99</v>
      </c>
      <c r="J1943" s="1">
        <v>1095.8699999999999</v>
      </c>
      <c r="K1943" s="8" t="str">
        <f t="shared" si="30"/>
        <v>Mar</v>
      </c>
    </row>
    <row r="1944" spans="1:11">
      <c r="A1944" s="1" t="s">
        <v>1968</v>
      </c>
      <c r="B1944" s="2">
        <v>45887</v>
      </c>
      <c r="C1944" s="1" t="s">
        <v>22</v>
      </c>
      <c r="D1944" s="1" t="s">
        <v>13</v>
      </c>
      <c r="E1944" s="1" t="s">
        <v>18</v>
      </c>
      <c r="F1944" s="1">
        <v>12</v>
      </c>
      <c r="G1944" s="1">
        <v>35.6</v>
      </c>
      <c r="H1944" s="1">
        <v>427.2</v>
      </c>
      <c r="I1944" s="1">
        <v>263.68</v>
      </c>
      <c r="J1944" s="1">
        <v>163.52000000000001</v>
      </c>
      <c r="K1944" s="8" t="str">
        <f t="shared" si="30"/>
        <v>Aug</v>
      </c>
    </row>
    <row r="1945" spans="1:11">
      <c r="A1945" s="1" t="s">
        <v>1969</v>
      </c>
      <c r="B1945" s="2">
        <v>46000</v>
      </c>
      <c r="C1945" s="1" t="s">
        <v>22</v>
      </c>
      <c r="D1945" s="1" t="s">
        <v>17</v>
      </c>
      <c r="E1945" s="1" t="s">
        <v>18</v>
      </c>
      <c r="F1945" s="1">
        <v>37</v>
      </c>
      <c r="G1945" s="1">
        <v>11.09</v>
      </c>
      <c r="H1945" s="1">
        <v>410.33</v>
      </c>
      <c r="I1945" s="1">
        <v>322.61</v>
      </c>
      <c r="J1945" s="1">
        <v>87.72</v>
      </c>
      <c r="K1945" s="8" t="str">
        <f t="shared" si="30"/>
        <v>Dec</v>
      </c>
    </row>
    <row r="1946" spans="1:11">
      <c r="A1946" s="1" t="s">
        <v>1970</v>
      </c>
      <c r="B1946" s="2">
        <v>45968</v>
      </c>
      <c r="C1946" s="1" t="s">
        <v>12</v>
      </c>
      <c r="D1946" s="1" t="s">
        <v>29</v>
      </c>
      <c r="E1946" s="1" t="s">
        <v>14</v>
      </c>
      <c r="F1946" s="1">
        <v>228</v>
      </c>
      <c r="G1946" s="1">
        <v>28.11</v>
      </c>
      <c r="H1946" s="1">
        <v>6409.08</v>
      </c>
      <c r="I1946" s="1">
        <v>3959.5</v>
      </c>
      <c r="J1946" s="1">
        <v>2449.58</v>
      </c>
      <c r="K1946" s="8" t="str">
        <f t="shared" si="30"/>
        <v>Nov</v>
      </c>
    </row>
    <row r="1947" spans="1:11">
      <c r="A1947" s="1" t="s">
        <v>1971</v>
      </c>
      <c r="B1947" s="2">
        <v>46018</v>
      </c>
      <c r="C1947" s="1" t="s">
        <v>16</v>
      </c>
      <c r="D1947" s="1" t="s">
        <v>13</v>
      </c>
      <c r="E1947" s="1" t="s">
        <v>26</v>
      </c>
      <c r="F1947" s="1">
        <v>75</v>
      </c>
      <c r="G1947" s="1">
        <v>15.22</v>
      </c>
      <c r="H1947" s="1">
        <v>1141.5</v>
      </c>
      <c r="I1947" s="1">
        <v>737.92</v>
      </c>
      <c r="J1947" s="1">
        <v>403.58</v>
      </c>
      <c r="K1947" s="8" t="str">
        <f t="shared" si="30"/>
        <v>Dec</v>
      </c>
    </row>
    <row r="1948" spans="1:11">
      <c r="A1948" s="1" t="s">
        <v>1972</v>
      </c>
      <c r="B1948" s="2">
        <v>45710</v>
      </c>
      <c r="C1948" s="1" t="s">
        <v>36</v>
      </c>
      <c r="D1948" s="1" t="s">
        <v>13</v>
      </c>
      <c r="E1948" s="1" t="s">
        <v>23</v>
      </c>
      <c r="F1948" s="1">
        <v>298</v>
      </c>
      <c r="G1948" s="1">
        <v>12.93</v>
      </c>
      <c r="H1948" s="1">
        <v>3853.14</v>
      </c>
      <c r="I1948" s="1">
        <v>2580.5500000000002</v>
      </c>
      <c r="J1948" s="1">
        <v>1272.5899999999999</v>
      </c>
      <c r="K1948" s="8" t="str">
        <f t="shared" si="30"/>
        <v>Feb</v>
      </c>
    </row>
    <row r="1949" spans="1:11">
      <c r="A1949" s="1" t="s">
        <v>1973</v>
      </c>
      <c r="B1949" s="2">
        <v>46015</v>
      </c>
      <c r="C1949" s="1" t="s">
        <v>28</v>
      </c>
      <c r="D1949" s="1" t="s">
        <v>13</v>
      </c>
      <c r="E1949" s="1" t="s">
        <v>20</v>
      </c>
      <c r="F1949" s="1">
        <v>298</v>
      </c>
      <c r="G1949" s="1">
        <v>18.21</v>
      </c>
      <c r="H1949" s="1">
        <v>5426.58</v>
      </c>
      <c r="I1949" s="1">
        <v>3762.81</v>
      </c>
      <c r="J1949" s="1">
        <v>1663.77</v>
      </c>
      <c r="K1949" s="8" t="str">
        <f t="shared" si="30"/>
        <v>Dec</v>
      </c>
    </row>
    <row r="1950" spans="1:11">
      <c r="A1950" s="1" t="s">
        <v>1974</v>
      </c>
      <c r="B1950" s="2">
        <v>45865</v>
      </c>
      <c r="C1950" s="1" t="s">
        <v>22</v>
      </c>
      <c r="D1950" s="1" t="s">
        <v>29</v>
      </c>
      <c r="E1950" s="1" t="s">
        <v>14</v>
      </c>
      <c r="F1950" s="1">
        <v>294</v>
      </c>
      <c r="G1950" s="1">
        <v>21.83</v>
      </c>
      <c r="H1950" s="1">
        <v>6418.02</v>
      </c>
      <c r="I1950" s="1">
        <v>5032.6899999999996</v>
      </c>
      <c r="J1950" s="1">
        <v>1385.33</v>
      </c>
      <c r="K1950" s="8" t="str">
        <f t="shared" si="30"/>
        <v>Jul</v>
      </c>
    </row>
    <row r="1951" spans="1:11">
      <c r="A1951" s="1" t="s">
        <v>1975</v>
      </c>
      <c r="B1951" s="2">
        <v>45741</v>
      </c>
      <c r="C1951" s="1" t="s">
        <v>36</v>
      </c>
      <c r="D1951" s="1" t="s">
        <v>13</v>
      </c>
      <c r="E1951" s="1" t="s">
        <v>18</v>
      </c>
      <c r="F1951" s="1">
        <v>229</v>
      </c>
      <c r="G1951" s="1">
        <v>32.659999999999997</v>
      </c>
      <c r="H1951" s="1">
        <v>7479.14</v>
      </c>
      <c r="I1951" s="1">
        <v>4565.28</v>
      </c>
      <c r="J1951" s="1">
        <v>2913.86</v>
      </c>
      <c r="K1951" s="8" t="str">
        <f t="shared" si="30"/>
        <v>Mar</v>
      </c>
    </row>
    <row r="1952" spans="1:11">
      <c r="A1952" s="1" t="s">
        <v>1976</v>
      </c>
      <c r="B1952" s="2">
        <v>45773</v>
      </c>
      <c r="C1952" s="1" t="s">
        <v>16</v>
      </c>
      <c r="D1952" s="1" t="s">
        <v>13</v>
      </c>
      <c r="E1952" s="1" t="s">
        <v>14</v>
      </c>
      <c r="F1952" s="1">
        <v>126</v>
      </c>
      <c r="G1952" s="1">
        <v>17.62</v>
      </c>
      <c r="H1952" s="1">
        <v>2220.12</v>
      </c>
      <c r="I1952" s="1">
        <v>1484.68</v>
      </c>
      <c r="J1952" s="1">
        <v>735.44</v>
      </c>
      <c r="K1952" s="8" t="str">
        <f t="shared" si="30"/>
        <v>Apr</v>
      </c>
    </row>
    <row r="1953" spans="1:11">
      <c r="A1953" s="1" t="s">
        <v>1977</v>
      </c>
      <c r="B1953" s="2">
        <v>45670</v>
      </c>
      <c r="C1953" s="1" t="s">
        <v>31</v>
      </c>
      <c r="D1953" s="1" t="s">
        <v>17</v>
      </c>
      <c r="E1953" s="1" t="s">
        <v>20</v>
      </c>
      <c r="F1953" s="1">
        <v>85</v>
      </c>
      <c r="G1953" s="1">
        <v>14.79</v>
      </c>
      <c r="H1953" s="1">
        <v>1257.1500000000001</v>
      </c>
      <c r="I1953" s="1">
        <v>984.2</v>
      </c>
      <c r="J1953" s="1">
        <v>272.95</v>
      </c>
      <c r="K1953" s="8" t="str">
        <f t="shared" si="30"/>
        <v>Jan</v>
      </c>
    </row>
    <row r="1954" spans="1:11">
      <c r="A1954" s="1" t="s">
        <v>1978</v>
      </c>
      <c r="B1954" s="2">
        <v>45880</v>
      </c>
      <c r="C1954" s="1" t="s">
        <v>28</v>
      </c>
      <c r="D1954" s="1" t="s">
        <v>13</v>
      </c>
      <c r="E1954" s="1" t="s">
        <v>20</v>
      </c>
      <c r="F1954" s="1">
        <v>135</v>
      </c>
      <c r="G1954" s="1">
        <v>17.41</v>
      </c>
      <c r="H1954" s="1">
        <v>2350.35</v>
      </c>
      <c r="I1954" s="1">
        <v>1733.54</v>
      </c>
      <c r="J1954" s="1">
        <v>616.80999999999995</v>
      </c>
      <c r="K1954" s="8" t="str">
        <f t="shared" si="30"/>
        <v>Aug</v>
      </c>
    </row>
    <row r="1955" spans="1:11">
      <c r="A1955" s="1" t="s">
        <v>1979</v>
      </c>
      <c r="B1955" s="2">
        <v>45876</v>
      </c>
      <c r="C1955" s="1" t="s">
        <v>31</v>
      </c>
      <c r="D1955" s="1" t="s">
        <v>17</v>
      </c>
      <c r="E1955" s="1" t="s">
        <v>20</v>
      </c>
      <c r="F1955" s="1">
        <v>134</v>
      </c>
      <c r="G1955" s="1">
        <v>16.46</v>
      </c>
      <c r="H1955" s="1">
        <v>2205.64</v>
      </c>
      <c r="I1955" s="1">
        <v>1399.96</v>
      </c>
      <c r="J1955" s="1">
        <v>805.68</v>
      </c>
      <c r="K1955" s="8" t="str">
        <f t="shared" si="30"/>
        <v>Aug</v>
      </c>
    </row>
    <row r="1956" spans="1:11">
      <c r="A1956" s="1" t="s">
        <v>1980</v>
      </c>
      <c r="B1956" s="2">
        <v>45789</v>
      </c>
      <c r="C1956" s="1" t="s">
        <v>16</v>
      </c>
      <c r="D1956" s="1" t="s">
        <v>29</v>
      </c>
      <c r="E1956" s="1" t="s">
        <v>14</v>
      </c>
      <c r="F1956" s="1">
        <v>280</v>
      </c>
      <c r="G1956" s="1">
        <v>25.79</v>
      </c>
      <c r="H1956" s="1">
        <v>7221.2</v>
      </c>
      <c r="I1956" s="1">
        <v>5705.49</v>
      </c>
      <c r="J1956" s="1">
        <v>1515.71</v>
      </c>
      <c r="K1956" s="8" t="str">
        <f t="shared" si="30"/>
        <v>May</v>
      </c>
    </row>
    <row r="1957" spans="1:11">
      <c r="A1957" s="1" t="s">
        <v>1981</v>
      </c>
      <c r="B1957" s="2">
        <v>45808</v>
      </c>
      <c r="C1957" s="1" t="s">
        <v>16</v>
      </c>
      <c r="D1957" s="1" t="s">
        <v>13</v>
      </c>
      <c r="E1957" s="1" t="s">
        <v>33</v>
      </c>
      <c r="F1957" s="1">
        <v>257</v>
      </c>
      <c r="G1957" s="1">
        <v>15.56</v>
      </c>
      <c r="H1957" s="1">
        <v>3998.92</v>
      </c>
      <c r="I1957" s="1">
        <v>2977.7</v>
      </c>
      <c r="J1957" s="1">
        <v>1021.22</v>
      </c>
      <c r="K1957" s="8" t="str">
        <f t="shared" si="30"/>
        <v>May</v>
      </c>
    </row>
    <row r="1958" spans="1:11">
      <c r="A1958" s="1" t="s">
        <v>1982</v>
      </c>
      <c r="B1958" s="2">
        <v>45679</v>
      </c>
      <c r="C1958" s="1" t="s">
        <v>12</v>
      </c>
      <c r="D1958" s="1" t="s">
        <v>17</v>
      </c>
      <c r="E1958" s="1" t="s">
        <v>23</v>
      </c>
      <c r="F1958" s="1">
        <v>80</v>
      </c>
      <c r="G1958" s="1">
        <v>36.04</v>
      </c>
      <c r="H1958" s="1">
        <v>2883.2</v>
      </c>
      <c r="I1958" s="1">
        <v>2067.08</v>
      </c>
      <c r="J1958" s="1">
        <v>816.12</v>
      </c>
      <c r="K1958" s="8" t="str">
        <f t="shared" si="30"/>
        <v>Jan</v>
      </c>
    </row>
    <row r="1959" spans="1:11">
      <c r="A1959" s="1" t="s">
        <v>1983</v>
      </c>
      <c r="B1959" s="2">
        <v>45752</v>
      </c>
      <c r="C1959" s="1" t="s">
        <v>36</v>
      </c>
      <c r="D1959" s="1" t="s">
        <v>29</v>
      </c>
      <c r="E1959" s="1" t="s">
        <v>26</v>
      </c>
      <c r="F1959" s="1">
        <v>15</v>
      </c>
      <c r="G1959" s="1">
        <v>21.02</v>
      </c>
      <c r="H1959" s="1">
        <v>315.3</v>
      </c>
      <c r="I1959" s="1">
        <v>245.82</v>
      </c>
      <c r="J1959" s="1">
        <v>69.48</v>
      </c>
      <c r="K1959" s="8" t="str">
        <f t="shared" si="30"/>
        <v>Apr</v>
      </c>
    </row>
    <row r="1960" spans="1:11">
      <c r="A1960" s="1" t="s">
        <v>1984</v>
      </c>
      <c r="B1960" s="2">
        <v>45698</v>
      </c>
      <c r="C1960" s="1" t="s">
        <v>12</v>
      </c>
      <c r="D1960" s="1" t="s">
        <v>29</v>
      </c>
      <c r="E1960" s="1" t="s">
        <v>23</v>
      </c>
      <c r="F1960" s="1">
        <v>150</v>
      </c>
      <c r="G1960" s="1">
        <v>33.630000000000003</v>
      </c>
      <c r="H1960" s="1">
        <v>5044.5</v>
      </c>
      <c r="I1960" s="1">
        <v>3921.53</v>
      </c>
      <c r="J1960" s="1">
        <v>1122.97</v>
      </c>
      <c r="K1960" s="8" t="str">
        <f t="shared" si="30"/>
        <v>Feb</v>
      </c>
    </row>
    <row r="1961" spans="1:11">
      <c r="A1961" s="1" t="s">
        <v>1985</v>
      </c>
      <c r="B1961" s="2">
        <v>45751</v>
      </c>
      <c r="C1961" s="1" t="s">
        <v>12</v>
      </c>
      <c r="D1961" s="1" t="s">
        <v>17</v>
      </c>
      <c r="E1961" s="1" t="s">
        <v>23</v>
      </c>
      <c r="F1961" s="1">
        <v>159</v>
      </c>
      <c r="G1961" s="1">
        <v>24.65</v>
      </c>
      <c r="H1961" s="1">
        <v>3919.35</v>
      </c>
      <c r="I1961" s="1">
        <v>2946.96</v>
      </c>
      <c r="J1961" s="1">
        <v>972.39</v>
      </c>
      <c r="K1961" s="8" t="str">
        <f t="shared" si="30"/>
        <v>Apr</v>
      </c>
    </row>
    <row r="1962" spans="1:11">
      <c r="A1962" s="1" t="s">
        <v>1986</v>
      </c>
      <c r="B1962" s="2">
        <v>45814</v>
      </c>
      <c r="C1962" s="1" t="s">
        <v>12</v>
      </c>
      <c r="D1962" s="1" t="s">
        <v>13</v>
      </c>
      <c r="E1962" s="1" t="s">
        <v>14</v>
      </c>
      <c r="F1962" s="1">
        <v>253</v>
      </c>
      <c r="G1962" s="1">
        <v>14.01</v>
      </c>
      <c r="H1962" s="1">
        <v>3544.53</v>
      </c>
      <c r="I1962" s="1">
        <v>2648.99</v>
      </c>
      <c r="J1962" s="1">
        <v>895.54</v>
      </c>
      <c r="K1962" s="8" t="str">
        <f t="shared" si="30"/>
        <v>Jun</v>
      </c>
    </row>
    <row r="1963" spans="1:11">
      <c r="A1963" s="1" t="s">
        <v>1987</v>
      </c>
      <c r="B1963" s="2">
        <v>45895</v>
      </c>
      <c r="C1963" s="1" t="s">
        <v>31</v>
      </c>
      <c r="D1963" s="1" t="s">
        <v>29</v>
      </c>
      <c r="E1963" s="1" t="s">
        <v>33</v>
      </c>
      <c r="F1963" s="1">
        <v>245</v>
      </c>
      <c r="G1963" s="1">
        <v>34.380000000000003</v>
      </c>
      <c r="H1963" s="1">
        <v>8423.1</v>
      </c>
      <c r="I1963" s="1">
        <v>5484.64</v>
      </c>
      <c r="J1963" s="1">
        <v>2938.46</v>
      </c>
      <c r="K1963" s="8" t="str">
        <f t="shared" si="30"/>
        <v>Aug</v>
      </c>
    </row>
    <row r="1964" spans="1:11">
      <c r="A1964" s="1" t="s">
        <v>1988</v>
      </c>
      <c r="B1964" s="2">
        <v>45779</v>
      </c>
      <c r="C1964" s="1" t="s">
        <v>28</v>
      </c>
      <c r="D1964" s="1" t="s">
        <v>17</v>
      </c>
      <c r="E1964" s="1" t="s">
        <v>20</v>
      </c>
      <c r="F1964" s="1">
        <v>260</v>
      </c>
      <c r="G1964" s="1">
        <v>29.28</v>
      </c>
      <c r="H1964" s="1">
        <v>7612.8</v>
      </c>
      <c r="I1964" s="1">
        <v>4662.8900000000003</v>
      </c>
      <c r="J1964" s="1">
        <v>2949.91</v>
      </c>
      <c r="K1964" s="8" t="str">
        <f t="shared" si="30"/>
        <v>May</v>
      </c>
    </row>
    <row r="1965" spans="1:11">
      <c r="A1965" s="1" t="s">
        <v>1989</v>
      </c>
      <c r="B1965" s="2">
        <v>45860</v>
      </c>
      <c r="C1965" s="1" t="s">
        <v>22</v>
      </c>
      <c r="D1965" s="1" t="s">
        <v>17</v>
      </c>
      <c r="E1965" s="1" t="s">
        <v>33</v>
      </c>
      <c r="F1965" s="1">
        <v>207</v>
      </c>
      <c r="G1965" s="1">
        <v>16.600000000000001</v>
      </c>
      <c r="H1965" s="1">
        <v>3436.2</v>
      </c>
      <c r="I1965" s="1">
        <v>2072.52</v>
      </c>
      <c r="J1965" s="1">
        <v>1363.68</v>
      </c>
      <c r="K1965" s="8" t="str">
        <f t="shared" si="30"/>
        <v>Jul</v>
      </c>
    </row>
    <row r="1966" spans="1:11">
      <c r="A1966" s="1" t="s">
        <v>1990</v>
      </c>
      <c r="B1966" s="2">
        <v>45740</v>
      </c>
      <c r="C1966" s="1" t="s">
        <v>31</v>
      </c>
      <c r="D1966" s="1" t="s">
        <v>29</v>
      </c>
      <c r="E1966" s="1" t="s">
        <v>20</v>
      </c>
      <c r="F1966" s="1">
        <v>226</v>
      </c>
      <c r="G1966" s="1">
        <v>17.61</v>
      </c>
      <c r="H1966" s="1">
        <v>3979.86</v>
      </c>
      <c r="I1966" s="1">
        <v>2989.7</v>
      </c>
      <c r="J1966" s="1">
        <v>990.16</v>
      </c>
      <c r="K1966" s="8" t="str">
        <f t="shared" si="30"/>
        <v>Mar</v>
      </c>
    </row>
    <row r="1967" spans="1:11">
      <c r="A1967" s="1" t="s">
        <v>1991</v>
      </c>
      <c r="B1967" s="2">
        <v>45843</v>
      </c>
      <c r="C1967" s="1" t="s">
        <v>28</v>
      </c>
      <c r="D1967" s="1" t="s">
        <v>13</v>
      </c>
      <c r="E1967" s="1" t="s">
        <v>14</v>
      </c>
      <c r="F1967" s="1">
        <v>97</v>
      </c>
      <c r="G1967" s="1">
        <v>23.13</v>
      </c>
      <c r="H1967" s="1">
        <v>2243.61</v>
      </c>
      <c r="I1967" s="1">
        <v>1658.39</v>
      </c>
      <c r="J1967" s="1">
        <v>585.22</v>
      </c>
      <c r="K1967" s="8" t="str">
        <f t="shared" si="30"/>
        <v>Jul</v>
      </c>
    </row>
    <row r="1968" spans="1:11">
      <c r="A1968" s="1" t="s">
        <v>1992</v>
      </c>
      <c r="B1968" s="2">
        <v>45769</v>
      </c>
      <c r="C1968" s="1" t="s">
        <v>36</v>
      </c>
      <c r="D1968" s="1" t="s">
        <v>29</v>
      </c>
      <c r="E1968" s="1" t="s">
        <v>20</v>
      </c>
      <c r="F1968" s="1">
        <v>230</v>
      </c>
      <c r="G1968" s="1">
        <v>23.73</v>
      </c>
      <c r="H1968" s="1">
        <v>5457.9</v>
      </c>
      <c r="I1968" s="1">
        <v>3826.16</v>
      </c>
      <c r="J1968" s="1">
        <v>1631.74</v>
      </c>
      <c r="K1968" s="8" t="str">
        <f t="shared" si="30"/>
        <v>Apr</v>
      </c>
    </row>
    <row r="1969" spans="1:11">
      <c r="A1969" s="1" t="s">
        <v>1993</v>
      </c>
      <c r="B1969" s="2">
        <v>45836</v>
      </c>
      <c r="C1969" s="1" t="s">
        <v>31</v>
      </c>
      <c r="D1969" s="1" t="s">
        <v>29</v>
      </c>
      <c r="E1969" s="1" t="s">
        <v>23</v>
      </c>
      <c r="F1969" s="1">
        <v>248</v>
      </c>
      <c r="G1969" s="1">
        <v>25.03</v>
      </c>
      <c r="H1969" s="1">
        <v>6207.44</v>
      </c>
      <c r="I1969" s="1">
        <v>3858.48</v>
      </c>
      <c r="J1969" s="1">
        <v>2348.96</v>
      </c>
      <c r="K1969" s="8" t="str">
        <f t="shared" si="30"/>
        <v>Jun</v>
      </c>
    </row>
    <row r="1970" spans="1:11">
      <c r="A1970" s="1" t="s">
        <v>1994</v>
      </c>
      <c r="B1970" s="2">
        <v>45769</v>
      </c>
      <c r="C1970" s="1" t="s">
        <v>28</v>
      </c>
      <c r="D1970" s="1" t="s">
        <v>29</v>
      </c>
      <c r="E1970" s="1" t="s">
        <v>33</v>
      </c>
      <c r="F1970" s="1">
        <v>53</v>
      </c>
      <c r="G1970" s="1">
        <v>10.119999999999999</v>
      </c>
      <c r="H1970" s="1">
        <v>536.36</v>
      </c>
      <c r="I1970" s="1">
        <v>362.13</v>
      </c>
      <c r="J1970" s="1">
        <v>174.23</v>
      </c>
      <c r="K1970" s="8" t="str">
        <f t="shared" si="30"/>
        <v>Apr</v>
      </c>
    </row>
    <row r="1971" spans="1:11">
      <c r="A1971" s="1" t="s">
        <v>1995</v>
      </c>
      <c r="B1971" s="2">
        <v>45724</v>
      </c>
      <c r="C1971" s="1" t="s">
        <v>16</v>
      </c>
      <c r="D1971" s="1" t="s">
        <v>17</v>
      </c>
      <c r="E1971" s="1" t="s">
        <v>23</v>
      </c>
      <c r="F1971" s="1">
        <v>264</v>
      </c>
      <c r="G1971" s="1">
        <v>12.48</v>
      </c>
      <c r="H1971" s="1">
        <v>3294.72</v>
      </c>
      <c r="I1971" s="1">
        <v>2070.41</v>
      </c>
      <c r="J1971" s="1">
        <v>1224.31</v>
      </c>
      <c r="K1971" s="8" t="str">
        <f t="shared" si="30"/>
        <v>Mar</v>
      </c>
    </row>
    <row r="1972" spans="1:11">
      <c r="A1972" s="1" t="s">
        <v>1996</v>
      </c>
      <c r="B1972" s="2">
        <v>45868</v>
      </c>
      <c r="C1972" s="1" t="s">
        <v>22</v>
      </c>
      <c r="D1972" s="1" t="s">
        <v>13</v>
      </c>
      <c r="E1972" s="1" t="s">
        <v>20</v>
      </c>
      <c r="F1972" s="1">
        <v>100</v>
      </c>
      <c r="G1972" s="1">
        <v>20.63</v>
      </c>
      <c r="H1972" s="1">
        <v>2063</v>
      </c>
      <c r="I1972" s="1">
        <v>1499.69</v>
      </c>
      <c r="J1972" s="1">
        <v>563.30999999999995</v>
      </c>
      <c r="K1972" s="8" t="str">
        <f t="shared" si="30"/>
        <v>Jul</v>
      </c>
    </row>
    <row r="1973" spans="1:11">
      <c r="A1973" s="1" t="s">
        <v>1997</v>
      </c>
      <c r="B1973" s="2">
        <v>46003</v>
      </c>
      <c r="C1973" s="1" t="s">
        <v>12</v>
      </c>
      <c r="D1973" s="1" t="s">
        <v>13</v>
      </c>
      <c r="E1973" s="1" t="s">
        <v>14</v>
      </c>
      <c r="F1973" s="1">
        <v>93</v>
      </c>
      <c r="G1973" s="1">
        <v>34.19</v>
      </c>
      <c r="H1973" s="1">
        <v>3179.67</v>
      </c>
      <c r="I1973" s="1">
        <v>2193.5500000000002</v>
      </c>
      <c r="J1973" s="1">
        <v>986.12</v>
      </c>
      <c r="K1973" s="8" t="str">
        <f t="shared" si="30"/>
        <v>Dec</v>
      </c>
    </row>
    <row r="1974" spans="1:11">
      <c r="A1974" s="1" t="s">
        <v>1998</v>
      </c>
      <c r="B1974" s="2">
        <v>45712</v>
      </c>
      <c r="C1974" s="1" t="s">
        <v>36</v>
      </c>
      <c r="D1974" s="1" t="s">
        <v>29</v>
      </c>
      <c r="E1974" s="1" t="s">
        <v>20</v>
      </c>
      <c r="F1974" s="1">
        <v>187</v>
      </c>
      <c r="G1974" s="1">
        <v>30.57</v>
      </c>
      <c r="H1974" s="1">
        <v>5716.59</v>
      </c>
      <c r="I1974" s="1">
        <v>3518.98</v>
      </c>
      <c r="J1974" s="1">
        <v>2197.61</v>
      </c>
      <c r="K1974" s="8" t="str">
        <f t="shared" si="30"/>
        <v>Feb</v>
      </c>
    </row>
    <row r="1975" spans="1:11">
      <c r="A1975" s="1" t="s">
        <v>1999</v>
      </c>
      <c r="B1975" s="2">
        <v>45904</v>
      </c>
      <c r="C1975" s="1" t="s">
        <v>36</v>
      </c>
      <c r="D1975" s="1" t="s">
        <v>29</v>
      </c>
      <c r="E1975" s="1" t="s">
        <v>33</v>
      </c>
      <c r="F1975" s="1">
        <v>174</v>
      </c>
      <c r="G1975" s="1">
        <v>15.5</v>
      </c>
      <c r="H1975" s="1">
        <v>2697</v>
      </c>
      <c r="I1975" s="1">
        <v>1879.47</v>
      </c>
      <c r="J1975" s="1">
        <v>817.53</v>
      </c>
      <c r="K1975" s="8" t="str">
        <f t="shared" si="30"/>
        <v>Sep</v>
      </c>
    </row>
    <row r="1976" spans="1:11">
      <c r="A1976" s="1" t="s">
        <v>2000</v>
      </c>
      <c r="B1976" s="2">
        <v>45824</v>
      </c>
      <c r="C1976" s="1" t="s">
        <v>31</v>
      </c>
      <c r="D1976" s="1" t="s">
        <v>29</v>
      </c>
      <c r="E1976" s="1" t="s">
        <v>23</v>
      </c>
      <c r="F1976" s="1">
        <v>56</v>
      </c>
      <c r="G1976" s="1">
        <v>11.64</v>
      </c>
      <c r="H1976" s="1">
        <v>651.84</v>
      </c>
      <c r="I1976" s="1">
        <v>449.81</v>
      </c>
      <c r="J1976" s="1">
        <v>202.03</v>
      </c>
      <c r="K1976" s="8" t="str">
        <f t="shared" si="30"/>
        <v>Jun</v>
      </c>
    </row>
    <row r="1977" spans="1:11">
      <c r="A1977" s="1" t="s">
        <v>2001</v>
      </c>
      <c r="B1977" s="2">
        <v>45858</v>
      </c>
      <c r="C1977" s="1" t="s">
        <v>16</v>
      </c>
      <c r="D1977" s="1" t="s">
        <v>29</v>
      </c>
      <c r="E1977" s="1" t="s">
        <v>18</v>
      </c>
      <c r="F1977" s="1">
        <v>88</v>
      </c>
      <c r="G1977" s="1">
        <v>29.14</v>
      </c>
      <c r="H1977" s="1">
        <v>2564.3200000000002</v>
      </c>
      <c r="I1977" s="1">
        <v>2025.21</v>
      </c>
      <c r="J1977" s="1">
        <v>539.11</v>
      </c>
      <c r="K1977" s="8" t="str">
        <f t="shared" si="30"/>
        <v>Jul</v>
      </c>
    </row>
    <row r="1978" spans="1:11">
      <c r="A1978" s="1" t="s">
        <v>2002</v>
      </c>
      <c r="B1978" s="2">
        <v>45730</v>
      </c>
      <c r="C1978" s="1" t="s">
        <v>12</v>
      </c>
      <c r="D1978" s="1" t="s">
        <v>29</v>
      </c>
      <c r="E1978" s="1" t="s">
        <v>33</v>
      </c>
      <c r="F1978" s="1">
        <v>111</v>
      </c>
      <c r="G1978" s="1">
        <v>17.940000000000001</v>
      </c>
      <c r="H1978" s="1">
        <v>1991.34</v>
      </c>
      <c r="I1978" s="1">
        <v>1477.95</v>
      </c>
      <c r="J1978" s="1">
        <v>513.39</v>
      </c>
      <c r="K1978" s="8" t="str">
        <f t="shared" si="30"/>
        <v>Mar</v>
      </c>
    </row>
    <row r="1979" spans="1:11">
      <c r="A1979" s="1" t="s">
        <v>2003</v>
      </c>
      <c r="B1979" s="2">
        <v>45827</v>
      </c>
      <c r="C1979" s="1" t="s">
        <v>12</v>
      </c>
      <c r="D1979" s="1" t="s">
        <v>17</v>
      </c>
      <c r="E1979" s="1" t="s">
        <v>23</v>
      </c>
      <c r="F1979" s="1">
        <v>97</v>
      </c>
      <c r="G1979" s="1">
        <v>10.02</v>
      </c>
      <c r="H1979" s="1">
        <v>971.94</v>
      </c>
      <c r="I1979" s="1">
        <v>686.13</v>
      </c>
      <c r="J1979" s="1">
        <v>285.81</v>
      </c>
      <c r="K1979" s="8" t="str">
        <f t="shared" si="30"/>
        <v>Jun</v>
      </c>
    </row>
    <row r="1980" spans="1:11">
      <c r="A1980" s="1" t="s">
        <v>2004</v>
      </c>
      <c r="B1980" s="2">
        <v>45799</v>
      </c>
      <c r="C1980" s="1" t="s">
        <v>22</v>
      </c>
      <c r="D1980" s="1" t="s">
        <v>29</v>
      </c>
      <c r="E1980" s="1" t="s">
        <v>20</v>
      </c>
      <c r="F1980" s="1">
        <v>215</v>
      </c>
      <c r="G1980" s="1">
        <v>33.049999999999997</v>
      </c>
      <c r="H1980" s="1">
        <v>7105.75</v>
      </c>
      <c r="I1980" s="1">
        <v>5657.21</v>
      </c>
      <c r="J1980" s="1">
        <v>1448.54</v>
      </c>
      <c r="K1980" s="8" t="str">
        <f t="shared" si="30"/>
        <v>May</v>
      </c>
    </row>
    <row r="1981" spans="1:11">
      <c r="A1981" s="1" t="s">
        <v>2005</v>
      </c>
      <c r="B1981" s="2">
        <v>45688</v>
      </c>
      <c r="C1981" s="1" t="s">
        <v>12</v>
      </c>
      <c r="D1981" s="1" t="s">
        <v>29</v>
      </c>
      <c r="E1981" s="1" t="s">
        <v>26</v>
      </c>
      <c r="F1981" s="1">
        <v>25</v>
      </c>
      <c r="G1981" s="1">
        <v>31.14</v>
      </c>
      <c r="H1981" s="1">
        <v>778.5</v>
      </c>
      <c r="I1981" s="1">
        <v>608.33000000000004</v>
      </c>
      <c r="J1981" s="1">
        <v>170.17</v>
      </c>
      <c r="K1981" s="8" t="str">
        <f t="shared" si="30"/>
        <v>Jan</v>
      </c>
    </row>
    <row r="1982" spans="1:11">
      <c r="A1982" s="1" t="s">
        <v>2006</v>
      </c>
      <c r="B1982" s="2">
        <v>45982</v>
      </c>
      <c r="C1982" s="1" t="s">
        <v>36</v>
      </c>
      <c r="D1982" s="1" t="s">
        <v>29</v>
      </c>
      <c r="E1982" s="1" t="s">
        <v>18</v>
      </c>
      <c r="F1982" s="1">
        <v>66</v>
      </c>
      <c r="G1982" s="1">
        <v>11.2</v>
      </c>
      <c r="H1982" s="1">
        <v>739.2</v>
      </c>
      <c r="I1982" s="1">
        <v>447.07</v>
      </c>
      <c r="J1982" s="1">
        <v>292.13</v>
      </c>
      <c r="K1982" s="8" t="str">
        <f t="shared" si="30"/>
        <v>Nov</v>
      </c>
    </row>
    <row r="1983" spans="1:11">
      <c r="A1983" s="1" t="s">
        <v>2007</v>
      </c>
      <c r="B1983" s="2">
        <v>45679</v>
      </c>
      <c r="C1983" s="1" t="s">
        <v>31</v>
      </c>
      <c r="D1983" s="1" t="s">
        <v>17</v>
      </c>
      <c r="E1983" s="1" t="s">
        <v>20</v>
      </c>
      <c r="F1983" s="1">
        <v>117</v>
      </c>
      <c r="G1983" s="1">
        <v>38.869999999999997</v>
      </c>
      <c r="H1983" s="1">
        <v>4547.79</v>
      </c>
      <c r="I1983" s="1">
        <v>2939.41</v>
      </c>
      <c r="J1983" s="1">
        <v>1608.38</v>
      </c>
      <c r="K1983" s="8" t="str">
        <f t="shared" si="30"/>
        <v>Jan</v>
      </c>
    </row>
    <row r="1984" spans="1:11">
      <c r="A1984" s="1" t="s">
        <v>2008</v>
      </c>
      <c r="B1984" s="2">
        <v>45700</v>
      </c>
      <c r="C1984" s="1" t="s">
        <v>28</v>
      </c>
      <c r="D1984" s="1" t="s">
        <v>17</v>
      </c>
      <c r="E1984" s="1" t="s">
        <v>26</v>
      </c>
      <c r="F1984" s="1">
        <v>113</v>
      </c>
      <c r="G1984" s="1">
        <v>29.32</v>
      </c>
      <c r="H1984" s="1">
        <v>3313.16</v>
      </c>
      <c r="I1984" s="1">
        <v>2281.23</v>
      </c>
      <c r="J1984" s="1">
        <v>1031.93</v>
      </c>
      <c r="K1984" s="8" t="str">
        <f t="shared" si="30"/>
        <v>Feb</v>
      </c>
    </row>
    <row r="1985" spans="1:11">
      <c r="A1985" s="1" t="s">
        <v>2009</v>
      </c>
      <c r="B1985" s="2">
        <v>45868</v>
      </c>
      <c r="C1985" s="1" t="s">
        <v>22</v>
      </c>
      <c r="D1985" s="1" t="s">
        <v>17</v>
      </c>
      <c r="E1985" s="1" t="s">
        <v>23</v>
      </c>
      <c r="F1985" s="1">
        <v>192</v>
      </c>
      <c r="G1985" s="1">
        <v>15.79</v>
      </c>
      <c r="H1985" s="1">
        <v>3031.68</v>
      </c>
      <c r="I1985" s="1">
        <v>2070.87</v>
      </c>
      <c r="J1985" s="1">
        <v>960.81</v>
      </c>
      <c r="K1985" s="8" t="str">
        <f t="shared" si="30"/>
        <v>Jul</v>
      </c>
    </row>
    <row r="1986" spans="1:11">
      <c r="A1986" s="1" t="s">
        <v>2010</v>
      </c>
      <c r="B1986" s="2">
        <v>45669</v>
      </c>
      <c r="C1986" s="1" t="s">
        <v>16</v>
      </c>
      <c r="D1986" s="1" t="s">
        <v>13</v>
      </c>
      <c r="E1986" s="1" t="s">
        <v>23</v>
      </c>
      <c r="F1986" s="1">
        <v>294</v>
      </c>
      <c r="G1986" s="1">
        <v>22.5</v>
      </c>
      <c r="H1986" s="1">
        <v>6615</v>
      </c>
      <c r="I1986" s="1">
        <v>4469.95</v>
      </c>
      <c r="J1986" s="1">
        <v>2145.0500000000002</v>
      </c>
      <c r="K1986" s="8" t="str">
        <f t="shared" ref="K1986:K2001" si="31">TEXT(B1986,"mmm")</f>
        <v>Jan</v>
      </c>
    </row>
    <row r="1987" spans="1:11">
      <c r="A1987" s="1" t="s">
        <v>2011</v>
      </c>
      <c r="B1987" s="2">
        <v>45798</v>
      </c>
      <c r="C1987" s="1" t="s">
        <v>22</v>
      </c>
      <c r="D1987" s="1" t="s">
        <v>29</v>
      </c>
      <c r="E1987" s="1" t="s">
        <v>33</v>
      </c>
      <c r="F1987" s="1">
        <v>225</v>
      </c>
      <c r="G1987" s="1">
        <v>10.37</v>
      </c>
      <c r="H1987" s="1">
        <v>2333.25</v>
      </c>
      <c r="I1987" s="1">
        <v>1775.91</v>
      </c>
      <c r="J1987" s="1">
        <v>557.34</v>
      </c>
      <c r="K1987" s="8" t="str">
        <f t="shared" si="31"/>
        <v>May</v>
      </c>
    </row>
    <row r="1988" spans="1:11">
      <c r="A1988" s="1" t="s">
        <v>2012</v>
      </c>
      <c r="B1988" s="2">
        <v>45735</v>
      </c>
      <c r="C1988" s="1" t="s">
        <v>16</v>
      </c>
      <c r="D1988" s="1" t="s">
        <v>29</v>
      </c>
      <c r="E1988" s="1" t="s">
        <v>23</v>
      </c>
      <c r="F1988" s="1">
        <v>300</v>
      </c>
      <c r="G1988" s="1">
        <v>32.36</v>
      </c>
      <c r="H1988" s="1">
        <v>9708</v>
      </c>
      <c r="I1988" s="1">
        <v>7474.21</v>
      </c>
      <c r="J1988" s="1">
        <v>2233.79</v>
      </c>
      <c r="K1988" s="8" t="str">
        <f t="shared" si="31"/>
        <v>Mar</v>
      </c>
    </row>
    <row r="1989" spans="1:11">
      <c r="A1989" s="1" t="s">
        <v>2013</v>
      </c>
      <c r="B1989" s="2">
        <v>45750</v>
      </c>
      <c r="C1989" s="1" t="s">
        <v>31</v>
      </c>
      <c r="D1989" s="1" t="s">
        <v>17</v>
      </c>
      <c r="E1989" s="1" t="s">
        <v>18</v>
      </c>
      <c r="F1989" s="1">
        <v>114</v>
      </c>
      <c r="G1989" s="1">
        <v>32.65</v>
      </c>
      <c r="H1989" s="1">
        <v>3722.1</v>
      </c>
      <c r="I1989" s="1">
        <v>2562.6799999999998</v>
      </c>
      <c r="J1989" s="1">
        <v>1159.42</v>
      </c>
      <c r="K1989" s="8" t="str">
        <f t="shared" si="31"/>
        <v>Apr</v>
      </c>
    </row>
    <row r="1990" spans="1:11">
      <c r="A1990" s="1" t="s">
        <v>2014</v>
      </c>
      <c r="B1990" s="2">
        <v>45915</v>
      </c>
      <c r="C1990" s="1" t="s">
        <v>28</v>
      </c>
      <c r="D1990" s="1" t="s">
        <v>29</v>
      </c>
      <c r="E1990" s="1" t="s">
        <v>23</v>
      </c>
      <c r="F1990" s="1">
        <v>185</v>
      </c>
      <c r="G1990" s="1">
        <v>39.1</v>
      </c>
      <c r="H1990" s="1">
        <v>7233.5</v>
      </c>
      <c r="I1990" s="1">
        <v>4690.93</v>
      </c>
      <c r="J1990" s="1">
        <v>2542.5700000000002</v>
      </c>
      <c r="K1990" s="8" t="str">
        <f t="shared" si="31"/>
        <v>Sep</v>
      </c>
    </row>
    <row r="1991" spans="1:11">
      <c r="A1991" s="1" t="s">
        <v>2015</v>
      </c>
      <c r="B1991" s="2">
        <v>45731</v>
      </c>
      <c r="C1991" s="1" t="s">
        <v>31</v>
      </c>
      <c r="D1991" s="1" t="s">
        <v>13</v>
      </c>
      <c r="E1991" s="1" t="s">
        <v>33</v>
      </c>
      <c r="F1991" s="1">
        <v>163</v>
      </c>
      <c r="G1991" s="1">
        <v>15.4</v>
      </c>
      <c r="H1991" s="1">
        <v>2510.1999999999998</v>
      </c>
      <c r="I1991" s="1">
        <v>1827.37</v>
      </c>
      <c r="J1991" s="1">
        <v>682.83</v>
      </c>
      <c r="K1991" s="8" t="str">
        <f t="shared" si="31"/>
        <v>Mar</v>
      </c>
    </row>
    <row r="1992" spans="1:11">
      <c r="A1992" s="1" t="s">
        <v>2016</v>
      </c>
      <c r="B1992" s="2">
        <v>45688</v>
      </c>
      <c r="C1992" s="1" t="s">
        <v>31</v>
      </c>
      <c r="D1992" s="1" t="s">
        <v>17</v>
      </c>
      <c r="E1992" s="1" t="s">
        <v>14</v>
      </c>
      <c r="F1992" s="1">
        <v>292</v>
      </c>
      <c r="G1992" s="1">
        <v>33.69</v>
      </c>
      <c r="H1992" s="1">
        <v>9837.48</v>
      </c>
      <c r="I1992" s="1">
        <v>7400.98</v>
      </c>
      <c r="J1992" s="1">
        <v>2436.5</v>
      </c>
      <c r="K1992" s="8" t="str">
        <f t="shared" si="31"/>
        <v>Jan</v>
      </c>
    </row>
    <row r="1993" spans="1:11">
      <c r="A1993" s="1" t="s">
        <v>2017</v>
      </c>
      <c r="B1993" s="2">
        <v>45679</v>
      </c>
      <c r="C1993" s="1" t="s">
        <v>22</v>
      </c>
      <c r="D1993" s="1" t="s">
        <v>17</v>
      </c>
      <c r="E1993" s="1" t="s">
        <v>18</v>
      </c>
      <c r="F1993" s="1">
        <v>197</v>
      </c>
      <c r="G1993" s="1">
        <v>19.11</v>
      </c>
      <c r="H1993" s="1">
        <v>3764.67</v>
      </c>
      <c r="I1993" s="1">
        <v>2439.1</v>
      </c>
      <c r="J1993" s="1">
        <v>1325.57</v>
      </c>
      <c r="K1993" s="8" t="str">
        <f t="shared" si="31"/>
        <v>Jan</v>
      </c>
    </row>
    <row r="1994" spans="1:11">
      <c r="A1994" s="1" t="s">
        <v>2018</v>
      </c>
      <c r="B1994" s="2">
        <v>45758</v>
      </c>
      <c r="C1994" s="1" t="s">
        <v>36</v>
      </c>
      <c r="D1994" s="1" t="s">
        <v>29</v>
      </c>
      <c r="E1994" s="1" t="s">
        <v>14</v>
      </c>
      <c r="F1994" s="1">
        <v>184</v>
      </c>
      <c r="G1994" s="1">
        <v>32.86</v>
      </c>
      <c r="H1994" s="1">
        <v>6046.24</v>
      </c>
      <c r="I1994" s="1">
        <v>4034.2</v>
      </c>
      <c r="J1994" s="1">
        <v>2012.04</v>
      </c>
      <c r="K1994" s="8" t="str">
        <f t="shared" si="31"/>
        <v>Apr</v>
      </c>
    </row>
    <row r="1995" spans="1:11">
      <c r="A1995" s="1" t="s">
        <v>2019</v>
      </c>
      <c r="B1995" s="2">
        <v>45777</v>
      </c>
      <c r="C1995" s="1" t="s">
        <v>31</v>
      </c>
      <c r="D1995" s="1" t="s">
        <v>17</v>
      </c>
      <c r="E1995" s="1" t="s">
        <v>23</v>
      </c>
      <c r="F1995" s="1">
        <v>230</v>
      </c>
      <c r="G1995" s="1">
        <v>12.01</v>
      </c>
      <c r="H1995" s="1">
        <v>2762.3</v>
      </c>
      <c r="I1995" s="1">
        <v>2031.43</v>
      </c>
      <c r="J1995" s="1">
        <v>730.87</v>
      </c>
      <c r="K1995" s="8" t="str">
        <f t="shared" si="31"/>
        <v>Apr</v>
      </c>
    </row>
    <row r="1996" spans="1:11">
      <c r="A1996" s="1" t="s">
        <v>2020</v>
      </c>
      <c r="B1996" s="2">
        <v>46000</v>
      </c>
      <c r="C1996" s="1" t="s">
        <v>31</v>
      </c>
      <c r="D1996" s="1" t="s">
        <v>29</v>
      </c>
      <c r="E1996" s="1" t="s">
        <v>33</v>
      </c>
      <c r="F1996" s="1">
        <v>24</v>
      </c>
      <c r="G1996" s="1">
        <v>17.04</v>
      </c>
      <c r="H1996" s="1">
        <v>408.96</v>
      </c>
      <c r="I1996" s="1">
        <v>291.55</v>
      </c>
      <c r="J1996" s="1">
        <v>117.41</v>
      </c>
      <c r="K1996" s="8" t="str">
        <f t="shared" si="31"/>
        <v>Dec</v>
      </c>
    </row>
    <row r="1997" spans="1:11">
      <c r="A1997" s="1" t="s">
        <v>2021</v>
      </c>
      <c r="B1997" s="2">
        <v>45688</v>
      </c>
      <c r="C1997" s="1" t="s">
        <v>22</v>
      </c>
      <c r="D1997" s="1" t="s">
        <v>13</v>
      </c>
      <c r="E1997" s="1" t="s">
        <v>33</v>
      </c>
      <c r="F1997" s="1">
        <v>273</v>
      </c>
      <c r="G1997" s="1">
        <v>32.31</v>
      </c>
      <c r="H1997" s="1">
        <v>8820.6299999999992</v>
      </c>
      <c r="I1997" s="1">
        <v>5964.19</v>
      </c>
      <c r="J1997" s="1">
        <v>2856.44</v>
      </c>
      <c r="K1997" s="8" t="str">
        <f t="shared" si="31"/>
        <v>Jan</v>
      </c>
    </row>
    <row r="1998" spans="1:11">
      <c r="A1998" s="1" t="s">
        <v>2022</v>
      </c>
      <c r="B1998" s="2">
        <v>45660</v>
      </c>
      <c r="C1998" s="1" t="s">
        <v>28</v>
      </c>
      <c r="D1998" s="1" t="s">
        <v>13</v>
      </c>
      <c r="E1998" s="1" t="s">
        <v>20</v>
      </c>
      <c r="F1998" s="1">
        <v>188</v>
      </c>
      <c r="G1998" s="1">
        <v>15.54</v>
      </c>
      <c r="H1998" s="1">
        <v>2921.52</v>
      </c>
      <c r="I1998" s="1">
        <v>2274.71</v>
      </c>
      <c r="J1998" s="1">
        <v>646.80999999999995</v>
      </c>
      <c r="K1998" s="8" t="str">
        <f t="shared" si="31"/>
        <v>Jan</v>
      </c>
    </row>
    <row r="1999" spans="1:11">
      <c r="A1999" s="1" t="s">
        <v>2023</v>
      </c>
      <c r="B1999" s="2">
        <v>45803</v>
      </c>
      <c r="C1999" s="1" t="s">
        <v>12</v>
      </c>
      <c r="D1999" s="1" t="s">
        <v>17</v>
      </c>
      <c r="E1999" s="1" t="s">
        <v>20</v>
      </c>
      <c r="F1999" s="1">
        <v>34</v>
      </c>
      <c r="G1999" s="1">
        <v>38.93</v>
      </c>
      <c r="H1999" s="1">
        <v>1323.62</v>
      </c>
      <c r="I1999" s="1">
        <v>829.79</v>
      </c>
      <c r="J1999" s="1">
        <v>493.83</v>
      </c>
      <c r="K1999" s="8" t="str">
        <f t="shared" si="31"/>
        <v>May</v>
      </c>
    </row>
    <row r="2000" spans="1:11">
      <c r="A2000" s="1" t="s">
        <v>2024</v>
      </c>
      <c r="B2000" s="2">
        <v>45787</v>
      </c>
      <c r="C2000" s="1" t="s">
        <v>22</v>
      </c>
      <c r="D2000" s="1" t="s">
        <v>29</v>
      </c>
      <c r="E2000" s="1" t="s">
        <v>18</v>
      </c>
      <c r="F2000" s="1">
        <v>152</v>
      </c>
      <c r="G2000" s="1">
        <v>20.57</v>
      </c>
      <c r="H2000" s="1">
        <v>3126.64</v>
      </c>
      <c r="I2000" s="1">
        <v>2289.21</v>
      </c>
      <c r="J2000" s="1">
        <v>837.43</v>
      </c>
      <c r="K2000" s="8" t="str">
        <f t="shared" si="31"/>
        <v>May</v>
      </c>
    </row>
    <row r="2001" spans="1:11">
      <c r="A2001" s="1" t="s">
        <v>2025</v>
      </c>
      <c r="B2001" s="2">
        <v>45967</v>
      </c>
      <c r="C2001" s="1" t="s">
        <v>12</v>
      </c>
      <c r="D2001" s="1" t="s">
        <v>29</v>
      </c>
      <c r="E2001" s="1" t="s">
        <v>23</v>
      </c>
      <c r="F2001" s="1">
        <v>196</v>
      </c>
      <c r="G2001" s="1">
        <v>14.2</v>
      </c>
      <c r="H2001" s="1">
        <v>2783.2</v>
      </c>
      <c r="I2001" s="1">
        <v>2131.19</v>
      </c>
      <c r="J2001" s="1">
        <v>652.01</v>
      </c>
      <c r="K2001" s="8" t="str">
        <f t="shared" si="31"/>
        <v>Nov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D369-7863-4569-90F2-D70591BB3C95}">
  <dimension ref="A3:T27"/>
  <sheetViews>
    <sheetView tabSelected="1" workbookViewId="0">
      <selection activeCell="A3" sqref="A3:B10"/>
    </sheetView>
  </sheetViews>
  <sheetFormatPr defaultRowHeight="15"/>
  <cols>
    <col min="1" max="1" width="11.140625" bestFit="1" customWidth="1"/>
    <col min="2" max="2" width="12.28515625" bestFit="1" customWidth="1"/>
    <col min="10" max="10" width="11.140625" bestFit="1" customWidth="1"/>
    <col min="11" max="12" width="12.28515625" bestFit="1" customWidth="1"/>
    <col min="15" max="15" width="11.140625" bestFit="1" customWidth="1"/>
    <col min="16" max="17" width="12.28515625" bestFit="1" customWidth="1"/>
    <col min="19" max="19" width="11.42578125" bestFit="1" customWidth="1"/>
    <col min="20" max="20" width="12.28515625" bestFit="1" customWidth="1"/>
  </cols>
  <sheetData>
    <row r="3" spans="1:20">
      <c r="A3" s="6" t="s">
        <v>4</v>
      </c>
      <c r="B3" t="s">
        <v>2026</v>
      </c>
      <c r="K3" s="6" t="s">
        <v>4</v>
      </c>
      <c r="L3" t="s">
        <v>2027</v>
      </c>
      <c r="S3" s="6" t="s">
        <v>3</v>
      </c>
      <c r="T3" t="s">
        <v>2026</v>
      </c>
    </row>
    <row r="4" spans="1:20">
      <c r="A4" t="s">
        <v>14</v>
      </c>
      <c r="B4" s="5">
        <v>98981.669999999955</v>
      </c>
      <c r="K4" t="s">
        <v>14</v>
      </c>
      <c r="L4" s="5">
        <v>341619.60999999975</v>
      </c>
      <c r="S4" t="s">
        <v>13</v>
      </c>
      <c r="T4" s="5">
        <v>134409.11000000004</v>
      </c>
    </row>
    <row r="5" spans="1:20">
      <c r="A5" t="s">
        <v>26</v>
      </c>
      <c r="B5" s="5">
        <v>92927.650000000009</v>
      </c>
      <c r="K5" t="s">
        <v>26</v>
      </c>
      <c r="L5" s="5">
        <v>302925.65999999986</v>
      </c>
      <c r="S5" t="s">
        <v>29</v>
      </c>
      <c r="T5" s="5">
        <v>144191.02999999997</v>
      </c>
    </row>
    <row r="6" spans="1:20">
      <c r="A6" t="s">
        <v>33</v>
      </c>
      <c r="B6" s="5">
        <v>86690.819999999992</v>
      </c>
      <c r="K6" t="s">
        <v>33</v>
      </c>
      <c r="L6" s="5">
        <v>290475.35999999993</v>
      </c>
      <c r="S6" t="s">
        <v>2028</v>
      </c>
      <c r="T6" s="5">
        <v>278600.14</v>
      </c>
    </row>
    <row r="7" spans="1:20">
      <c r="A7" t="s">
        <v>2028</v>
      </c>
      <c r="B7" s="5">
        <v>278600.13999999996</v>
      </c>
      <c r="K7" t="s">
        <v>2028</v>
      </c>
      <c r="L7" s="5">
        <v>935020.62999999942</v>
      </c>
    </row>
    <row r="14" spans="1:20">
      <c r="J14" s="6" t="s">
        <v>10</v>
      </c>
      <c r="K14" t="s">
        <v>2027</v>
      </c>
    </row>
    <row r="15" spans="1:20">
      <c r="A15" s="6" t="s">
        <v>2</v>
      </c>
      <c r="B15" t="s">
        <v>2027</v>
      </c>
      <c r="J15" t="s">
        <v>2029</v>
      </c>
      <c r="K15" s="5">
        <v>73301.759999999995</v>
      </c>
    </row>
    <row r="16" spans="1:20">
      <c r="A16" t="s">
        <v>36</v>
      </c>
      <c r="B16" s="5">
        <v>463028.31999999972</v>
      </c>
      <c r="J16" t="s">
        <v>2030</v>
      </c>
      <c r="K16" s="5">
        <v>44590.479999999996</v>
      </c>
    </row>
    <row r="17" spans="1:19">
      <c r="A17" t="s">
        <v>16</v>
      </c>
      <c r="B17" s="5">
        <v>471992.30999999994</v>
      </c>
      <c r="J17" t="s">
        <v>2031</v>
      </c>
      <c r="K17" s="5">
        <v>89909.330000000016</v>
      </c>
    </row>
    <row r="18" spans="1:19">
      <c r="A18" t="s">
        <v>2028</v>
      </c>
      <c r="B18" s="5">
        <v>935020.62999999966</v>
      </c>
      <c r="J18" t="s">
        <v>2032</v>
      </c>
      <c r="K18" s="5">
        <v>106793.02000000002</v>
      </c>
    </row>
    <row r="19" spans="1:19">
      <c r="J19" t="s">
        <v>2033</v>
      </c>
      <c r="K19" s="5">
        <v>92852.260000000024</v>
      </c>
    </row>
    <row r="20" spans="1:19">
      <c r="J20" t="s">
        <v>2034</v>
      </c>
      <c r="K20" s="5">
        <v>60223.350000000006</v>
      </c>
    </row>
    <row r="21" spans="1:19">
      <c r="J21" t="s">
        <v>2035</v>
      </c>
      <c r="K21" s="5">
        <v>118235.32000000002</v>
      </c>
    </row>
    <row r="22" spans="1:19">
      <c r="J22" t="s">
        <v>2036</v>
      </c>
      <c r="K22" s="5">
        <v>77828.94</v>
      </c>
    </row>
    <row r="23" spans="1:19">
      <c r="J23" t="s">
        <v>2037</v>
      </c>
      <c r="K23" s="5">
        <v>62443.520000000019</v>
      </c>
    </row>
    <row r="24" spans="1:19" ht="130.5">
      <c r="J24" t="s">
        <v>2038</v>
      </c>
      <c r="K24" s="5">
        <v>65342.99</v>
      </c>
      <c r="S24" s="10" t="s">
        <v>2039</v>
      </c>
    </row>
    <row r="25" spans="1:19">
      <c r="J25" t="s">
        <v>2040</v>
      </c>
      <c r="K25" s="5">
        <v>85137.5</v>
      </c>
    </row>
    <row r="26" spans="1:19">
      <c r="J26" t="s">
        <v>2041</v>
      </c>
      <c r="K26" s="5">
        <v>58362.16</v>
      </c>
    </row>
    <row r="27" spans="1:19">
      <c r="J27" t="s">
        <v>2028</v>
      </c>
      <c r="K27" s="5">
        <v>935020.63000000024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90A6-3CEB-4D34-BF7A-D6A7521DD99C}">
  <dimension ref="A1:Y56"/>
  <sheetViews>
    <sheetView topLeftCell="A6" workbookViewId="0">
      <selection activeCell="AA13" sqref="AA13"/>
    </sheetView>
  </sheetViews>
  <sheetFormatPr defaultRowHeight="15"/>
  <cols>
    <col min="29" max="29" width="15.28515625" bestFit="1" customWidth="1"/>
    <col min="30" max="30" width="12.28515625" bestFit="1" customWidth="1"/>
  </cols>
  <sheetData>
    <row r="1" spans="1:25" ht="31.5">
      <c r="A1" s="12" t="s">
        <v>2042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5" customHeight="1">
      <c r="A2" s="24" t="str">
        <f>ROUND(SUM('Raw Data'!H:H)/1000000,2)&amp;" M"</f>
        <v>7.83 M</v>
      </c>
      <c r="B2" s="25"/>
      <c r="C2" s="26"/>
      <c r="D2" s="11"/>
      <c r="E2" s="15" t="str">
        <f>ROUND(SUM('Raw Data'!J:J)/1000000,2)&amp; " M"</f>
        <v>2.36 M</v>
      </c>
      <c r="F2" s="16"/>
      <c r="G2" s="17"/>
      <c r="H2" s="11"/>
      <c r="I2" s="33">
        <f>COUNTA('Raw Data'!A:A)-1</f>
        <v>2000</v>
      </c>
      <c r="J2" s="34"/>
      <c r="K2" s="35"/>
      <c r="L2" s="11"/>
      <c r="M2" s="42">
        <f>SUM('Raw Data'!F:F)</f>
        <v>313452</v>
      </c>
      <c r="N2" s="43"/>
      <c r="O2" s="4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" customHeight="1">
      <c r="A3" s="27"/>
      <c r="B3" s="28"/>
      <c r="C3" s="29"/>
      <c r="D3" s="11"/>
      <c r="E3" s="18"/>
      <c r="F3" s="19"/>
      <c r="G3" s="20"/>
      <c r="H3" s="11"/>
      <c r="I3" s="36"/>
      <c r="J3" s="37"/>
      <c r="K3" s="38"/>
      <c r="L3" s="11"/>
      <c r="M3" s="45"/>
      <c r="N3" s="46"/>
      <c r="O3" s="47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" customHeight="1">
      <c r="A4" s="27"/>
      <c r="B4" s="28"/>
      <c r="C4" s="29"/>
      <c r="D4" s="11"/>
      <c r="E4" s="18"/>
      <c r="F4" s="19"/>
      <c r="G4" s="20"/>
      <c r="H4" s="11"/>
      <c r="I4" s="36"/>
      <c r="J4" s="37"/>
      <c r="K4" s="38"/>
      <c r="L4" s="11"/>
      <c r="M4" s="45"/>
      <c r="N4" s="46"/>
      <c r="O4" s="47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" customHeight="1">
      <c r="A5" s="30"/>
      <c r="B5" s="31"/>
      <c r="C5" s="32"/>
      <c r="D5" s="11"/>
      <c r="E5" s="21"/>
      <c r="F5" s="22"/>
      <c r="G5" s="23"/>
      <c r="H5" s="11"/>
      <c r="I5" s="39"/>
      <c r="J5" s="40"/>
      <c r="K5" s="41"/>
      <c r="L5" s="11"/>
      <c r="M5" s="48"/>
      <c r="N5" s="49"/>
      <c r="O5" s="50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</sheetData>
  <mergeCells count="10">
    <mergeCell ref="D2:D5"/>
    <mergeCell ref="H2:H5"/>
    <mergeCell ref="L2:L5"/>
    <mergeCell ref="A1:Y1"/>
    <mergeCell ref="A8:Y56"/>
    <mergeCell ref="P2:Y7"/>
    <mergeCell ref="E2:G5"/>
    <mergeCell ref="A2:C5"/>
    <mergeCell ref="I2:K5"/>
    <mergeCell ref="M2:O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2026-07-08T09:59:57Z</dcterms:created>
  <dcterms:modified xsi:type="dcterms:W3CDTF">2026-07-08T15:01:55Z</dcterms:modified>
  <cp:category/>
  <cp:contentStatus/>
</cp:coreProperties>
</file>